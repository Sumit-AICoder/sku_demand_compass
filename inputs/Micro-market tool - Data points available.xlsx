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anunay_tomar_parthenon_ey_com/Documents/Desktop/BDs/Company Y/"/>
    </mc:Choice>
  </mc:AlternateContent>
  <xr:revisionPtr revIDLastSave="0" documentId="8_{B668C138-7B6E-432D-81AA-3F7B69991D5B}" xr6:coauthVersionLast="47" xr6:coauthVersionMax="47" xr10:uidLastSave="{00000000-0000-0000-0000-000000000000}"/>
  <bookViews>
    <workbookView xWindow="-110" yWindow="-110" windowWidth="19420" windowHeight="11500" firstSheet="1" activeTab="1" xr2:uid="{397FD627-C7EB-4E4A-B8C0-75279CD550EA}"/>
  </bookViews>
  <sheets>
    <sheet name="Data Points" sheetId="1" state="hidden" r:id="rId1"/>
    <sheet name="Data Points " sheetId="3" r:id="rId2"/>
    <sheet name="Sheet1" sheetId="2" r:id="rId3"/>
  </sheets>
  <definedNames>
    <definedName name="_xlnm._FilterDatabase" localSheetId="1" hidden="1">'Data Points '!$A$1:$I$16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3" l="1"/>
  <c r="A5" i="3"/>
  <c r="A6" i="3"/>
  <c r="A7" i="3"/>
  <c r="A8" i="3"/>
  <c r="A9" i="3"/>
  <c r="A2" i="3"/>
  <c r="A4" i="3"/>
  <c r="A2" i="1"/>
  <c r="A3" i="1"/>
  <c r="A4" i="1"/>
  <c r="A5" i="1"/>
  <c r="A6" i="1"/>
  <c r="A8" i="1"/>
  <c r="A9" i="1"/>
</calcChain>
</file>

<file path=xl/sharedStrings.xml><?xml version="1.0" encoding="utf-8"?>
<sst xmlns="http://schemas.openxmlformats.org/spreadsheetml/2006/main" count="373" uniqueCount="152">
  <si>
    <t>S.No</t>
  </si>
  <si>
    <t>Data point</t>
  </si>
  <si>
    <t>Segment applicable for</t>
  </si>
  <si>
    <t xml:space="preserve">How it helps </t>
  </si>
  <si>
    <t>Data Ownership</t>
  </si>
  <si>
    <t>Data links</t>
  </si>
  <si>
    <t>Latest Available Period</t>
  </si>
  <si>
    <t>Refresh Frequency</t>
  </si>
  <si>
    <t xml:space="preserve"> Crop-wise cultivated area</t>
  </si>
  <si>
    <t>District Level</t>
  </si>
  <si>
    <t>Identifies the potential acreage on which each implement can be used and helps determine the technical demand by geography</t>
  </si>
  <si>
    <t>EY Secondary</t>
  </si>
  <si>
    <t>https://eyindia-my.sharepoint.com/personal/akhil_nair_parthenon_ey_com/Documents/Desktop/DES-District-Data.xlsx</t>
  </si>
  <si>
    <t xml:space="preserve"> 2024-25</t>
  </si>
  <si>
    <t>Annual*</t>
  </si>
  <si>
    <t>Village-level tractor(HP mix) sales and installed base</t>
  </si>
  <si>
    <t>Village Level</t>
  </si>
  <si>
    <t>Indicates tractor concentration and the number of potential implement buyers in each market</t>
  </si>
  <si>
    <t>ITL</t>
  </si>
  <si>
    <t>Data with ITL</t>
  </si>
  <si>
    <t>Crop-to-implement compatibility</t>
  </si>
  <si>
    <t>N/A</t>
  </si>
  <si>
    <t>Determines which implements are relevant for each crop and geography</t>
  </si>
  <si>
    <t>EY Primary</t>
  </si>
  <si>
    <t>One-time study</t>
  </si>
  <si>
    <t>Existing implement penetration by tractor HP</t>
  </si>
  <si>
    <t xml:space="preserve">Identifies the current installed base </t>
  </si>
  <si>
    <t>Acreage capacity or utilization per implement</t>
  </si>
  <si>
    <t>Helps in understanding the average implement requirement</t>
  </si>
  <si>
    <t>"C:\Users\BV533WM\Downloads\NCAER-Report-Making-India-Feb-2023.pdf"</t>
  </si>
  <si>
    <t>one time report</t>
  </si>
  <si>
    <t>Subsidy data-top marketshare state's</t>
  </si>
  <si>
    <t>Indicates the level of government support available for each implement by state</t>
  </si>
  <si>
    <t>https://eyindia-my.sharepoint.com/personal/akhil_nair_parthenon_ey_com/Documents/Desktop/Subsidies%20Master.xlsx</t>
  </si>
  <si>
    <t>Population; Density by gender; Households</t>
  </si>
  <si>
    <t>Estimates the size of the farming and rural household base, helping identify the potential customer universe and prioritize high-opportunity geographies for implement sales</t>
  </si>
  <si>
    <t>Team Ioniq</t>
  </si>
  <si>
    <t>Agroclimatic zones</t>
  </si>
  <si>
    <t>Captures differences in soil, rainfall, terrain and growing conditions across regions, helping identify suitable crops and the corresponding Tractor/Implement requirements</t>
  </si>
  <si>
    <t>Implement wise  state level sales</t>
  </si>
  <si>
    <t>Every month</t>
  </si>
  <si>
    <t>Monthly</t>
  </si>
  <si>
    <t>*Annual- Data is available annually but the report frequency depends on Ministry of Agriculture &amp; Farmers Welfare when its released</t>
  </si>
  <si>
    <t>Every Census cycle (~10 years)*- Last census which was supposed to be conducted in 2021 was postponed due to covid</t>
  </si>
  <si>
    <t>Level of Granularity</t>
  </si>
  <si>
    <t xml:space="preserve">Segment </t>
  </si>
  <si>
    <t>Tractors</t>
  </si>
  <si>
    <t>TBD</t>
  </si>
  <si>
    <t>Implement wise - state level sales</t>
  </si>
  <si>
    <t>State Level</t>
  </si>
  <si>
    <t>Implements</t>
  </si>
  <si>
    <t>Identifies high- and low-demand states by implement type, helping prioritize markets and plan state-wise sales efforts</t>
  </si>
  <si>
    <t>Tractors/Implements</t>
  </si>
  <si>
    <t>Yearly*</t>
  </si>
  <si>
    <t>Area wise(in hectare)</t>
  </si>
  <si>
    <t>One time Study</t>
  </si>
  <si>
    <t>Subsidy data (Amount + budget)</t>
  </si>
  <si>
    <t>Indicates the level of government support available for tractors implement by state</t>
  </si>
  <si>
    <t>https://eyindia-my.sharepoint.com/personal/akhil_nair_parthenon_ey_com/Documents/Desktop/Data%20points/Subsidies%20Master.xlsx</t>
  </si>
  <si>
    <t>2025-26</t>
  </si>
  <si>
    <t>Annual / scheme- or application-window based</t>
  </si>
  <si>
    <t>Pincode Level</t>
  </si>
  <si>
    <t>Yearly</t>
  </si>
  <si>
    <t>Tractor network coverage</t>
  </si>
  <si>
    <t>Location wise</t>
  </si>
  <si>
    <t>Identifies gaps in dealer and service coverage, helping prioritize network expansion in underserved markets</t>
  </si>
  <si>
    <t>https://eyindia-my.sharepoint.com/personal/akhil_nair_parthenon_ey_com/Documents/Desktop/Tractor%20dealer%20database.csv</t>
  </si>
  <si>
    <t>Readily available</t>
  </si>
  <si>
    <t>Implements network coverage</t>
  </si>
  <si>
    <t>Identifies gaps in implement availability and after-sales support</t>
  </si>
  <si>
    <t>https://eyindia-my.sharepoint.com/personal/akhil_nair_parthenon_ey_com/Documents/Desktop/Data%20points/Implements%20Dealer%20location%20database.xlsx</t>
  </si>
  <si>
    <t>Purchase Drivers</t>
  </si>
  <si>
    <t>Select sample</t>
  </si>
  <si>
    <t>Identifies the key factors influencing tractor and implement purchases, helping tailor products, pricing, financing and sales communication to customer priorities.</t>
  </si>
  <si>
    <t>ITL brand perception</t>
  </si>
  <si>
    <t>Assesses how customers perceive ITL compared with competing brands, helping identify brand strengths and areas requiring improvement.</t>
  </si>
  <si>
    <t>Reason's for buying brand</t>
  </si>
  <si>
    <t>Explains why customers select a particular brand, helping strengthen ITL’s product offering, dealer pitch and customer value proposition.</t>
  </si>
  <si>
    <t>Brand switching triggers</t>
  </si>
  <si>
    <t>Identifies what drives customers to switch brands and helps ITL design targeted conversion strategies</t>
  </si>
  <si>
    <t>Unmet need &amp; product requirements</t>
  </si>
  <si>
    <t>Identifies unmet customer needs and helps ITL develop relevant implement products and variants</t>
  </si>
  <si>
    <t>Pan india temperature information</t>
  </si>
  <si>
    <t>District level</t>
  </si>
  <si>
    <t>Helps classify districts by climatic conditions and identify suitable crops, cropping seasons, and associated tractor and implement requirements.</t>
  </si>
  <si>
    <t>https://eyindia-my.sharepoint.com/personal/akhil_nair_parthenon_ey_com/Documents/Desktop/Data%20points/temperature.csv</t>
  </si>
  <si>
    <t>Pan india rainfall information</t>
  </si>
  <si>
    <t>Helps classify districts by rainfall pattern and water availability, supporting assessment of crop mix, cultivation intensity, and suitable tractor and implement requirements.</t>
  </si>
  <si>
    <t>https://eyindia-my.sharepoint.com/personal/akhil_nair_parthenon_ey_com/Documents/Desktop/Data%20points/DISTRICT_RAINFALL_DISTRIBUTION_COUNTRY_INDIA_cd.pdf</t>
  </si>
  <si>
    <t xml:space="preserve">2026- Aug </t>
  </si>
  <si>
    <t>Weekly</t>
  </si>
  <si>
    <t>Annual rainfall</t>
  </si>
  <si>
    <t>https://mausam.imd.gov.in/responsive/rainfallinformation.php</t>
  </si>
  <si>
    <t>Minimum, maximum and mean temperature</t>
  </si>
  <si>
    <t>Helps classify districts by thermal conditions and identify suitable crops, cropping seasons, and associated tractor and implement requirements.</t>
  </si>
  <si>
    <t>https://dsp.imdpune.gov.in/home_gridded_climatology.php</t>
  </si>
  <si>
    <t>Dominant soil type</t>
  </si>
  <si>
    <t>Identifies the dominant soil characteristics in each district, helping assess crop suitability, tillage needs, and relevant tractor and implement requirements.</t>
  </si>
  <si>
    <t>https://bhoomigeoportal-nbsslup.in/</t>
  </si>
  <si>
    <t>Soil pH</t>
  </si>
  <si>
    <t>Indicates soil acidity or alkalinity, helping assess crop suitability and differentiate agricultural conditions across districts.</t>
  </si>
  <si>
    <t>Elevation and slope</t>
  </si>
  <si>
    <t>Captures terrain variation across districts, helping assess crop suitability, tractor accessibility, and the type and size of implements that can be used.</t>
  </si>
  <si>
    <t>https://bhuvan-app3.nrsc.gov.in/data/download/index.php</t>
  </si>
  <si>
    <t>Net and gross irrigated area</t>
  </si>
  <si>
    <t>Shows the extent and intensity of irrigation, helping distinguish rainfed and irrigated markets and assess cropping and equipment demand.</t>
  </si>
  <si>
    <t>https://data.desagri.gov.in/weblus/lus-grand-query-report</t>
  </si>
  <si>
    <t>2024-25</t>
  </si>
  <si>
    <t>Irrigation source mix</t>
  </si>
  <si>
    <t>Identifies dependence on canals, wells, tanks and other sources, helping assess irrigation reliability and local cropping potential.</t>
  </si>
  <si>
    <t>https://www.data.desagri.gov.in/weblus/lus-source-irrigated-area-report-web</t>
  </si>
  <si>
    <t>Groundwater level</t>
  </si>
  <si>
    <t>Indicates groundwater availability and seasonal variation, helping assess irrigation sustainability and crop intensity by district.</t>
  </si>
  <si>
    <t>https://nwdp.nwic.gov.in/en/organization/cgwb</t>
  </si>
  <si>
    <t>Quarterly</t>
  </si>
  <si>
    <t>Crop area</t>
  </si>
  <si>
    <t>Indicates the total area under each crop, helping estimate market potential for relevant tractors and implements.</t>
  </si>
  <si>
    <t>https://www.satsure.co/</t>
  </si>
  <si>
    <t>Sown area</t>
  </si>
  <si>
    <t>Shows the area where crops are planted, helping assess cultivation scale and demand for land-preparation and sowing equipment.</t>
  </si>
  <si>
    <t>Harvest area</t>
  </si>
  <si>
    <t>Shows the area available for harvesting, helping estimate demand for harvesting and post-harvest implements.</t>
  </si>
  <si>
    <t>Cropping intensity</t>
  </si>
  <si>
    <t>Indicates how frequently land is cultivated during the year, helping assess equipment utilization and replacement demand.</t>
  </si>
  <si>
    <t>Irrigation condition</t>
  </si>
  <si>
    <t>Shows the availability and type of irrigation, helping identify cropping potential and suitable tractors and implements for local farming conditions.</t>
  </si>
  <si>
    <t>Goup</t>
  </si>
  <si>
    <t>Data parameter</t>
  </si>
  <si>
    <t>Source</t>
  </si>
  <si>
    <t>Link</t>
  </si>
  <si>
    <t>Latest data</t>
  </si>
  <si>
    <t>Frequency</t>
  </si>
  <si>
    <t>Climate</t>
  </si>
  <si>
    <t>IMD Rainfall Information / IMD Data Service Portal</t>
  </si>
  <si>
    <t>Rainfall Information | India Meteorological Department</t>
  </si>
  <si>
    <t>IMD Data Service Portal</t>
  </si>
  <si>
    <t>IMD-DSP</t>
  </si>
  <si>
    <t>NA</t>
  </si>
  <si>
    <t>Soil</t>
  </si>
  <si>
    <t>ICAR-NBSS&amp;LUP BHOOMI Geoportal</t>
  </si>
  <si>
    <t>Terrain</t>
  </si>
  <si>
    <t>Elecvation, slope</t>
  </si>
  <si>
    <t>ISRO Bhuvan Open Data Archive: Cartosat DEM</t>
  </si>
  <si>
    <t>ISRO's Geoportal | Gateway to Indian Earth Observation | Applications | Bhuvan | NRSC Open EO Data Archive | NOEDA | Ortho | DEM | Elevation | AWiFS | LISSIII | HySI | TCHP | OHC | Free GIS Data | Download</t>
  </si>
  <si>
    <t>Water</t>
  </si>
  <si>
    <t>DES Source Irrigated Area report</t>
  </si>
  <si>
    <t>DES | District Level Entry</t>
  </si>
  <si>
    <t>CGWB / National Water Data Portal</t>
  </si>
  <si>
    <t>Ground Water Level (Manual - Quarterly), Central Ground Water Board - GWL_Manual_Quarterly_CGWB_AN_1991_2020.csv - National Water Data Portal</t>
  </si>
  <si>
    <t>Agriculture</t>
  </si>
  <si>
    <t>Sasture.co</t>
  </si>
  <si>
    <t>SatSure Agri-Business | EO Intelligence for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</si>
</sst>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1" applyBorder="1" applyAlignment="1"/>
    <xf numFmtId="0" fontId="0" fillId="0" borderId="1" xfId="0" applyBorder="1"/>
    <xf numFmtId="17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1" fillId="0" borderId="1" xfId="1" applyFill="1" applyBorder="1" applyAlignment="1"/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5" fillId="0" borderId="1" xfId="1" applyFont="1" applyBorder="1" applyAlignment="1">
      <alignment horizontal="left" wrapText="1"/>
    </xf>
    <xf numFmtId="11" fontId="3" fillId="0" borderId="1" xfId="0" applyNumberFormat="1" applyFont="1" applyBorder="1" applyAlignment="1">
      <alignment horizontal="left"/>
    </xf>
    <xf numFmtId="0" fontId="5" fillId="0" borderId="1" xfId="1" applyFont="1" applyFill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5" fillId="0" borderId="0" xfId="1" applyFont="1"/>
    <xf numFmtId="0" fontId="5" fillId="0" borderId="1" xfId="1" applyFont="1" applyBorder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akhil_nair_parthenon_ey_com/Documents/Desktop/DES-District-Data.xlsx" TargetMode="External"/><Relationship Id="rId2" Type="http://schemas.openxmlformats.org/officeDocument/2006/relationships/hyperlink" Target="../../../../../akhil_nair_parthenon_ey_com/Documents/Desktop/Subsidies%20Master.xlsx" TargetMode="External"/><Relationship Id="rId1" Type="http://schemas.openxmlformats.org/officeDocument/2006/relationships/hyperlink" Target="../../../../../akhil_nair_parthenon_ey_com/Documents/Desktop/NCAER-Report-Making-India-Feb-2023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akhil_nair_parthenon_ey_com/Documents/Desktop/Data%20points/Implements%20Dealer%20location%20database.xlsx" TargetMode="External"/><Relationship Id="rId13" Type="http://schemas.openxmlformats.org/officeDocument/2006/relationships/hyperlink" Target="https://bhuvan-app3.nrsc.gov.in/data/download/index.php" TargetMode="External"/><Relationship Id="rId18" Type="http://schemas.openxmlformats.org/officeDocument/2006/relationships/hyperlink" Target="https://www.satsure.co/" TargetMode="External"/><Relationship Id="rId3" Type="http://schemas.openxmlformats.org/officeDocument/2006/relationships/hyperlink" Target="../../../../../akhil_nair_parthenon_ey_com/Documents/Desktop/Tractor%20dealer%20database.csv" TargetMode="External"/><Relationship Id="rId21" Type="http://schemas.openxmlformats.org/officeDocument/2006/relationships/hyperlink" Target="https://www.satsure.co/" TargetMode="External"/><Relationship Id="rId7" Type="http://schemas.openxmlformats.org/officeDocument/2006/relationships/hyperlink" Target="../../../../../akhil_nair_parthenon_ey_com/Documents/Desktop/Data%20points/Subsidies%20Master.xlsx" TargetMode="External"/><Relationship Id="rId12" Type="http://schemas.openxmlformats.org/officeDocument/2006/relationships/hyperlink" Target="https://bhoomigeoportal-nbsslup.in/" TargetMode="External"/><Relationship Id="rId17" Type="http://schemas.openxmlformats.org/officeDocument/2006/relationships/hyperlink" Target="https://www.satsure.co/" TargetMode="External"/><Relationship Id="rId2" Type="http://schemas.openxmlformats.org/officeDocument/2006/relationships/hyperlink" Target="../../../../../akhil_nair_parthenon_ey_com/Documents/Desktop/DES-District-Data.xlsx" TargetMode="External"/><Relationship Id="rId16" Type="http://schemas.openxmlformats.org/officeDocument/2006/relationships/hyperlink" Target="https://nwdp.nwic.gov.in/en/organization/cgwb" TargetMode="External"/><Relationship Id="rId20" Type="http://schemas.openxmlformats.org/officeDocument/2006/relationships/hyperlink" Target="https://www.satsure.co/" TargetMode="External"/><Relationship Id="rId1" Type="http://schemas.openxmlformats.org/officeDocument/2006/relationships/hyperlink" Target="../../../../../akhil_nair_parthenon_ey_com/Documents/Desktop/NCAER-Report-Making-India-Feb-2023.pdf" TargetMode="External"/><Relationship Id="rId6" Type="http://schemas.openxmlformats.org/officeDocument/2006/relationships/hyperlink" Target="../../../../../akhil_nair_parthenon_ey_com/Documents/Desktop/Data%20points/Subsidies%20Master.xlsx" TargetMode="External"/><Relationship Id="rId11" Type="http://schemas.openxmlformats.org/officeDocument/2006/relationships/hyperlink" Target="https://bhoomigeoportal-nbsslup.in/" TargetMode="External"/><Relationship Id="rId5" Type="http://schemas.openxmlformats.org/officeDocument/2006/relationships/hyperlink" Target="../../../../../akhil_nair_parthenon_ey_com/Documents/Desktop/Data%20points/temperature.csv" TargetMode="External"/><Relationship Id="rId15" Type="http://schemas.openxmlformats.org/officeDocument/2006/relationships/hyperlink" Target="https://www.data.desagri.gov.in/weblus/lus-source-irrigated-area-report-web" TargetMode="External"/><Relationship Id="rId10" Type="http://schemas.openxmlformats.org/officeDocument/2006/relationships/hyperlink" Target="https://dsp.imdpune.gov.in/home_gridded_climatology.php" TargetMode="External"/><Relationship Id="rId19" Type="http://schemas.openxmlformats.org/officeDocument/2006/relationships/hyperlink" Target="https://www.satsure.co/" TargetMode="External"/><Relationship Id="rId4" Type="http://schemas.openxmlformats.org/officeDocument/2006/relationships/hyperlink" Target="../../../../../akhil_nair_parthenon_ey_com/Documents/Desktop/Data%20points/DISTRICT_RAINFALL_DISTRIBUTION_COUNTRY_INDIA_cd.pdf" TargetMode="External"/><Relationship Id="rId9" Type="http://schemas.openxmlformats.org/officeDocument/2006/relationships/hyperlink" Target="https://mausam.imd.gov.in/responsive/rainfallinformation.php" TargetMode="External"/><Relationship Id="rId14" Type="http://schemas.openxmlformats.org/officeDocument/2006/relationships/hyperlink" Target="https://data.desagri.gov.in/weblus/lus-grand-query-repor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nwdp.nwic.gov.in/en/dataset/gwl-manual-quarterly-central-ground-water-board-department/resource/c81b1976-fcd3-4bad-aedb-8b38d957a1a8" TargetMode="External"/><Relationship Id="rId3" Type="http://schemas.openxmlformats.org/officeDocument/2006/relationships/hyperlink" Target="https://bhoomigeoportal-nbsslup.in/" TargetMode="External"/><Relationship Id="rId7" Type="http://schemas.openxmlformats.org/officeDocument/2006/relationships/hyperlink" Target="https://www.data.desagri.gov.in/weblus/lus-source-irrigated-area-report-web" TargetMode="External"/><Relationship Id="rId2" Type="http://schemas.openxmlformats.org/officeDocument/2006/relationships/hyperlink" Target="https://dsp.imdpune.gov.in/home_gridded_climatology.php" TargetMode="External"/><Relationship Id="rId1" Type="http://schemas.openxmlformats.org/officeDocument/2006/relationships/hyperlink" Target="https://mausam.imd.gov.in/responsive/rainfallinformation.php" TargetMode="External"/><Relationship Id="rId6" Type="http://schemas.openxmlformats.org/officeDocument/2006/relationships/hyperlink" Target="https://www.data.desagri.gov.in/weblus/lus-source-irrigated-area-report-web" TargetMode="External"/><Relationship Id="rId5" Type="http://schemas.openxmlformats.org/officeDocument/2006/relationships/hyperlink" Target="https://bhuvan-app3.nrsc.gov.in/data/download/index.php" TargetMode="External"/><Relationship Id="rId10" Type="http://schemas.openxmlformats.org/officeDocument/2006/relationships/hyperlink" Target="https://www.satsure.co/solutions/agri-business/" TargetMode="External"/><Relationship Id="rId4" Type="http://schemas.openxmlformats.org/officeDocument/2006/relationships/hyperlink" Target="https://bhoomigeoportal-nbsslup.in/" TargetMode="External"/><Relationship Id="rId9" Type="http://schemas.openxmlformats.org/officeDocument/2006/relationships/hyperlink" Target="https://www.satsure.co/solutions/agri-busines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9A20-697B-4C21-ACF7-E1AF59FAD1FC}">
  <dimension ref="A1:I16"/>
  <sheetViews>
    <sheetView zoomScale="70" zoomScaleNormal="70" workbookViewId="0">
      <selection activeCell="C1" sqref="C1"/>
    </sheetView>
  </sheetViews>
  <sheetFormatPr defaultRowHeight="14.45"/>
  <cols>
    <col min="2" max="4" width="29.7109375" customWidth="1"/>
    <col min="5" max="6" width="32.5703125" customWidth="1"/>
    <col min="7" max="7" width="100.5703125" customWidth="1"/>
    <col min="8" max="8" width="8.7109375" customWidth="1"/>
    <col min="9" max="9" width="11.140625" customWidth="1"/>
  </cols>
  <sheetData>
    <row r="1" spans="1:9" ht="43.5">
      <c r="A1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7.95">
      <c r="A2" s="3">
        <f t="shared" ref="A2:A9" si="0">ROW() - ROW($A$2) + 1</f>
        <v>1</v>
      </c>
      <c r="B2" s="4" t="s">
        <v>8</v>
      </c>
      <c r="C2" s="4" t="s">
        <v>9</v>
      </c>
      <c r="D2" s="4"/>
      <c r="E2" s="5" t="s">
        <v>10</v>
      </c>
      <c r="F2" s="5" t="s">
        <v>11</v>
      </c>
      <c r="G2" s="6" t="s">
        <v>12</v>
      </c>
      <c r="H2" s="7" t="s">
        <v>13</v>
      </c>
      <c r="I2" s="7" t="s">
        <v>14</v>
      </c>
    </row>
    <row r="3" spans="1:9" ht="43.5">
      <c r="A3" s="3">
        <f t="shared" si="0"/>
        <v>2</v>
      </c>
      <c r="B3" s="4" t="s">
        <v>15</v>
      </c>
      <c r="C3" s="4" t="s">
        <v>16</v>
      </c>
      <c r="D3" s="4"/>
      <c r="E3" s="5" t="s">
        <v>17</v>
      </c>
      <c r="F3" s="5" t="s">
        <v>18</v>
      </c>
      <c r="G3" s="7" t="s">
        <v>19</v>
      </c>
      <c r="H3" s="7"/>
      <c r="I3" s="7"/>
    </row>
    <row r="4" spans="1:9" ht="43.5">
      <c r="A4" s="3">
        <f t="shared" si="0"/>
        <v>3</v>
      </c>
      <c r="B4" s="4" t="s">
        <v>20</v>
      </c>
      <c r="C4" s="7" t="s">
        <v>21</v>
      </c>
      <c r="D4" s="7"/>
      <c r="E4" s="5" t="s">
        <v>22</v>
      </c>
      <c r="F4" s="5" t="s">
        <v>23</v>
      </c>
      <c r="G4" s="7" t="s">
        <v>21</v>
      </c>
      <c r="H4" s="9" t="s">
        <v>24</v>
      </c>
      <c r="I4" s="9" t="s">
        <v>24</v>
      </c>
    </row>
    <row r="5" spans="1:9" ht="43.5">
      <c r="A5" s="3">
        <f t="shared" si="0"/>
        <v>4</v>
      </c>
      <c r="B5" s="4" t="s">
        <v>25</v>
      </c>
      <c r="C5" s="7" t="s">
        <v>21</v>
      </c>
      <c r="D5" s="7"/>
      <c r="E5" s="5" t="s">
        <v>26</v>
      </c>
      <c r="F5" s="5" t="s">
        <v>23</v>
      </c>
      <c r="G5" s="7" t="s">
        <v>21</v>
      </c>
      <c r="H5" s="9" t="s">
        <v>24</v>
      </c>
      <c r="I5" s="9" t="s">
        <v>24</v>
      </c>
    </row>
    <row r="6" spans="1:9" ht="29.1">
      <c r="A6" s="3">
        <f t="shared" si="0"/>
        <v>5</v>
      </c>
      <c r="B6" s="4" t="s">
        <v>27</v>
      </c>
      <c r="C6" s="4"/>
      <c r="D6" s="4"/>
      <c r="E6" s="5" t="s">
        <v>28</v>
      </c>
      <c r="F6" s="5" t="s">
        <v>11</v>
      </c>
      <c r="G6" s="6" t="s">
        <v>29</v>
      </c>
      <c r="H6" s="8">
        <v>44958</v>
      </c>
      <c r="I6" s="9" t="s">
        <v>30</v>
      </c>
    </row>
    <row r="7" spans="1:9">
      <c r="A7" s="3"/>
      <c r="B7" s="4"/>
      <c r="C7" s="4"/>
      <c r="D7" s="4"/>
      <c r="E7" s="5"/>
      <c r="F7" s="5"/>
      <c r="G7" s="6"/>
      <c r="H7" s="8"/>
      <c r="I7" s="9"/>
    </row>
    <row r="8" spans="1:9" ht="43.5">
      <c r="A8" s="3">
        <f t="shared" si="0"/>
        <v>7</v>
      </c>
      <c r="B8" s="4" t="s">
        <v>31</v>
      </c>
      <c r="C8" s="4"/>
      <c r="D8" s="4"/>
      <c r="E8" s="5" t="s">
        <v>32</v>
      </c>
      <c r="F8" s="5" t="s">
        <v>11</v>
      </c>
      <c r="G8" s="10" t="s">
        <v>33</v>
      </c>
      <c r="H8" s="7"/>
      <c r="I8" s="5"/>
    </row>
    <row r="9" spans="1:9" ht="72.599999999999994">
      <c r="A9" s="3">
        <f t="shared" si="0"/>
        <v>8</v>
      </c>
      <c r="B9" s="4" t="s">
        <v>34</v>
      </c>
      <c r="C9" s="4"/>
      <c r="D9" s="4"/>
      <c r="E9" s="5" t="s">
        <v>35</v>
      </c>
      <c r="F9" s="5" t="s">
        <v>11</v>
      </c>
      <c r="G9" s="7" t="s">
        <v>36</v>
      </c>
      <c r="H9" s="5"/>
      <c r="I9" s="5"/>
    </row>
    <row r="10" spans="1:9" ht="72.599999999999994">
      <c r="A10">
        <v>9</v>
      </c>
      <c r="B10" s="11" t="s">
        <v>37</v>
      </c>
      <c r="C10" s="11"/>
      <c r="D10" s="11"/>
      <c r="E10" s="5" t="s">
        <v>38</v>
      </c>
      <c r="F10" s="5" t="s">
        <v>11</v>
      </c>
      <c r="G10" s="7"/>
      <c r="H10" s="7"/>
      <c r="I10" s="7"/>
    </row>
    <row r="11" spans="1:9">
      <c r="B11" s="12" t="s">
        <v>39</v>
      </c>
      <c r="H11" t="s">
        <v>40</v>
      </c>
      <c r="I11" t="s">
        <v>41</v>
      </c>
    </row>
    <row r="13" spans="1:9">
      <c r="B13" t="s">
        <v>42</v>
      </c>
    </row>
    <row r="14" spans="1:9">
      <c r="B14" t="s">
        <v>43</v>
      </c>
    </row>
    <row r="15" spans="1:9">
      <c r="G15" s="1"/>
    </row>
    <row r="16" spans="1:9">
      <c r="G16" s="1"/>
    </row>
  </sheetData>
  <hyperlinks>
    <hyperlink ref="G6" r:id="rId1" xr:uid="{740E344A-CC64-419C-85D4-2EAC00F56EEE}"/>
    <hyperlink ref="G8" r:id="rId2" xr:uid="{E5A22730-C464-494B-B500-2FCA959D6248}"/>
    <hyperlink ref="G2" r:id="rId3" xr:uid="{3073A4D6-F7D3-4565-A3C7-17CE9E36D5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65B3-A866-44BB-B0EB-EC23756101E0}">
  <dimension ref="A1:I45"/>
  <sheetViews>
    <sheetView tabSelected="1" topLeftCell="A17" zoomScale="56" zoomScaleNormal="56" workbookViewId="0">
      <selection activeCell="I36" sqref="I36:J36"/>
    </sheetView>
  </sheetViews>
  <sheetFormatPr defaultRowHeight="14.45"/>
  <cols>
    <col min="2" max="4" width="29.7109375" customWidth="1"/>
    <col min="5" max="6" width="32.5703125" customWidth="1"/>
    <col min="7" max="7" width="100.5703125" customWidth="1"/>
    <col min="8" max="8" width="13.42578125" customWidth="1"/>
    <col min="9" max="9" width="14.5703125" customWidth="1"/>
  </cols>
  <sheetData>
    <row r="1" spans="1:9" ht="63">
      <c r="A1" s="20" t="s">
        <v>0</v>
      </c>
      <c r="B1" s="21" t="s">
        <v>1</v>
      </c>
      <c r="C1" s="21" t="s">
        <v>44</v>
      </c>
      <c r="D1" s="21" t="s">
        <v>45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</row>
    <row r="2" spans="1:9" ht="92.45">
      <c r="A2" s="13">
        <f t="shared" ref="A2:A9" si="0">ROW() - ROW($A$2) + 1</f>
        <v>1</v>
      </c>
      <c r="B2" s="14" t="s">
        <v>15</v>
      </c>
      <c r="C2" s="15" t="s">
        <v>16</v>
      </c>
      <c r="D2" s="15" t="s">
        <v>46</v>
      </c>
      <c r="E2" s="15" t="s">
        <v>17</v>
      </c>
      <c r="F2" s="15" t="s">
        <v>18</v>
      </c>
      <c r="G2" s="15" t="s">
        <v>19</v>
      </c>
      <c r="H2" s="13" t="s">
        <v>47</v>
      </c>
      <c r="I2" s="13" t="s">
        <v>47</v>
      </c>
    </row>
    <row r="3" spans="1:9" ht="92.45">
      <c r="A3" s="13">
        <f t="shared" si="0"/>
        <v>2</v>
      </c>
      <c r="B3" s="14" t="s">
        <v>48</v>
      </c>
      <c r="C3" s="13" t="s">
        <v>49</v>
      </c>
      <c r="D3" s="13" t="s">
        <v>50</v>
      </c>
      <c r="E3" s="15" t="s">
        <v>51</v>
      </c>
      <c r="F3" s="15" t="s">
        <v>18</v>
      </c>
      <c r="G3" s="15" t="s">
        <v>19</v>
      </c>
      <c r="H3" s="13" t="s">
        <v>41</v>
      </c>
      <c r="I3" s="13" t="s">
        <v>41</v>
      </c>
    </row>
    <row r="4" spans="1:9" ht="92.45">
      <c r="A4" s="13">
        <f t="shared" si="0"/>
        <v>3</v>
      </c>
      <c r="B4" s="14" t="s">
        <v>8</v>
      </c>
      <c r="C4" s="15" t="s">
        <v>9</v>
      </c>
      <c r="D4" s="15" t="s">
        <v>52</v>
      </c>
      <c r="E4" s="15" t="s">
        <v>10</v>
      </c>
      <c r="F4" s="15" t="s">
        <v>11</v>
      </c>
      <c r="G4" s="16" t="s">
        <v>12</v>
      </c>
      <c r="H4" s="17" t="s">
        <v>13</v>
      </c>
      <c r="I4" s="13" t="s">
        <v>53</v>
      </c>
    </row>
    <row r="5" spans="1:9" ht="55.5">
      <c r="A5" s="13">
        <f t="shared" si="0"/>
        <v>4</v>
      </c>
      <c r="B5" s="14" t="s">
        <v>27</v>
      </c>
      <c r="C5" s="15" t="s">
        <v>54</v>
      </c>
      <c r="D5" s="15" t="s">
        <v>50</v>
      </c>
      <c r="E5" s="15" t="s">
        <v>28</v>
      </c>
      <c r="F5" s="15" t="s">
        <v>11</v>
      </c>
      <c r="G5" s="16" t="s">
        <v>29</v>
      </c>
      <c r="H5" s="22">
        <v>2023</v>
      </c>
      <c r="I5" s="15" t="s">
        <v>55</v>
      </c>
    </row>
    <row r="6" spans="1:9" ht="92.45">
      <c r="A6" s="13">
        <f t="shared" si="0"/>
        <v>5</v>
      </c>
      <c r="B6" s="14" t="s">
        <v>56</v>
      </c>
      <c r="C6" s="15" t="s">
        <v>49</v>
      </c>
      <c r="D6" s="15" t="s">
        <v>46</v>
      </c>
      <c r="E6" s="15" t="s">
        <v>57</v>
      </c>
      <c r="F6" s="15" t="s">
        <v>11</v>
      </c>
      <c r="G6" s="18" t="s">
        <v>58</v>
      </c>
      <c r="H6" s="13" t="s">
        <v>59</v>
      </c>
      <c r="I6" s="15" t="s">
        <v>60</v>
      </c>
    </row>
    <row r="7" spans="1:9" ht="92.45">
      <c r="A7" s="13">
        <f t="shared" si="0"/>
        <v>6</v>
      </c>
      <c r="B7" s="14" t="s">
        <v>56</v>
      </c>
      <c r="C7" s="15" t="s">
        <v>49</v>
      </c>
      <c r="D7" s="15" t="s">
        <v>50</v>
      </c>
      <c r="E7" s="15" t="s">
        <v>32</v>
      </c>
      <c r="F7" s="15" t="s">
        <v>11</v>
      </c>
      <c r="G7" s="18" t="s">
        <v>58</v>
      </c>
      <c r="H7" s="13" t="s">
        <v>59</v>
      </c>
      <c r="I7" s="15" t="s">
        <v>60</v>
      </c>
    </row>
    <row r="8" spans="1:9" ht="129.6">
      <c r="A8" s="13">
        <f t="shared" si="0"/>
        <v>7</v>
      </c>
      <c r="B8" s="14" t="s">
        <v>34</v>
      </c>
      <c r="C8" s="15" t="s">
        <v>61</v>
      </c>
      <c r="D8" s="15" t="s">
        <v>52</v>
      </c>
      <c r="E8" s="15" t="s">
        <v>35</v>
      </c>
      <c r="F8" s="15" t="s">
        <v>11</v>
      </c>
      <c r="G8" s="15" t="s">
        <v>36</v>
      </c>
      <c r="H8" s="15">
        <v>2026</v>
      </c>
      <c r="I8" s="15" t="s">
        <v>62</v>
      </c>
    </row>
    <row r="9" spans="1:9" ht="129.6">
      <c r="A9" s="13">
        <f t="shared" si="0"/>
        <v>8</v>
      </c>
      <c r="B9" s="19" t="s">
        <v>37</v>
      </c>
      <c r="C9" s="13" t="s">
        <v>9</v>
      </c>
      <c r="D9" s="15" t="s">
        <v>52</v>
      </c>
      <c r="E9" s="15" t="s">
        <v>38</v>
      </c>
      <c r="F9" s="15" t="s">
        <v>11</v>
      </c>
      <c r="G9" s="15" t="s">
        <v>21</v>
      </c>
      <c r="H9" s="15" t="s">
        <v>21</v>
      </c>
      <c r="I9" s="15" t="s">
        <v>21</v>
      </c>
    </row>
    <row r="10" spans="1:9" ht="74.099999999999994">
      <c r="A10" s="13">
        <v>10</v>
      </c>
      <c r="B10" s="14" t="s">
        <v>63</v>
      </c>
      <c r="C10" s="13" t="s">
        <v>64</v>
      </c>
      <c r="D10" s="13" t="s">
        <v>46</v>
      </c>
      <c r="E10" s="15" t="s">
        <v>65</v>
      </c>
      <c r="F10" s="15" t="s">
        <v>11</v>
      </c>
      <c r="G10" s="16" t="s">
        <v>66</v>
      </c>
      <c r="H10" s="15">
        <v>2026</v>
      </c>
      <c r="I10" s="15" t="s">
        <v>67</v>
      </c>
    </row>
    <row r="11" spans="1:9" ht="55.5">
      <c r="A11" s="13">
        <v>11</v>
      </c>
      <c r="B11" s="14" t="s">
        <v>68</v>
      </c>
      <c r="C11" s="13" t="s">
        <v>64</v>
      </c>
      <c r="D11" s="13" t="s">
        <v>50</v>
      </c>
      <c r="E11" s="15" t="s">
        <v>69</v>
      </c>
      <c r="F11" s="15" t="s">
        <v>11</v>
      </c>
      <c r="G11" s="24" t="s">
        <v>70</v>
      </c>
      <c r="H11" s="15">
        <v>2026</v>
      </c>
      <c r="I11" s="15" t="s">
        <v>67</v>
      </c>
    </row>
    <row r="12" spans="1:9" ht="129.6">
      <c r="A12" s="13">
        <v>12</v>
      </c>
      <c r="B12" s="14" t="s">
        <v>71</v>
      </c>
      <c r="C12" s="13" t="s">
        <v>72</v>
      </c>
      <c r="D12" s="13" t="s">
        <v>52</v>
      </c>
      <c r="E12" s="15" t="s">
        <v>73</v>
      </c>
      <c r="F12" s="15" t="s">
        <v>23</v>
      </c>
      <c r="G12" s="15" t="s">
        <v>21</v>
      </c>
      <c r="H12" s="15" t="s">
        <v>24</v>
      </c>
      <c r="I12" s="15" t="s">
        <v>24</v>
      </c>
    </row>
    <row r="13" spans="1:9" ht="92.45">
      <c r="A13" s="13">
        <v>13</v>
      </c>
      <c r="B13" s="14" t="s">
        <v>74</v>
      </c>
      <c r="C13" s="13" t="s">
        <v>72</v>
      </c>
      <c r="D13" s="13" t="s">
        <v>52</v>
      </c>
      <c r="E13" s="15" t="s">
        <v>75</v>
      </c>
      <c r="F13" s="15" t="s">
        <v>23</v>
      </c>
      <c r="G13" s="15" t="s">
        <v>21</v>
      </c>
      <c r="H13" s="15" t="s">
        <v>24</v>
      </c>
      <c r="I13" s="15" t="s">
        <v>24</v>
      </c>
    </row>
    <row r="14" spans="1:9" ht="92.45">
      <c r="A14" s="13">
        <v>14</v>
      </c>
      <c r="B14" s="14" t="s">
        <v>76</v>
      </c>
      <c r="C14" s="13" t="s">
        <v>72</v>
      </c>
      <c r="D14" s="13" t="s">
        <v>52</v>
      </c>
      <c r="E14" s="15" t="s">
        <v>77</v>
      </c>
      <c r="F14" s="15" t="s">
        <v>23</v>
      </c>
      <c r="G14" s="15" t="s">
        <v>21</v>
      </c>
      <c r="H14" s="15" t="s">
        <v>24</v>
      </c>
      <c r="I14" s="15" t="s">
        <v>24</v>
      </c>
    </row>
    <row r="15" spans="1:9" ht="74.099999999999994">
      <c r="A15" s="13">
        <v>15</v>
      </c>
      <c r="B15" s="14" t="s">
        <v>78</v>
      </c>
      <c r="C15" s="13" t="s">
        <v>72</v>
      </c>
      <c r="D15" s="13" t="s">
        <v>52</v>
      </c>
      <c r="E15" s="15" t="s">
        <v>79</v>
      </c>
      <c r="F15" s="15" t="s">
        <v>23</v>
      </c>
      <c r="G15" s="15" t="s">
        <v>21</v>
      </c>
      <c r="H15" s="15" t="s">
        <v>24</v>
      </c>
      <c r="I15" s="15" t="s">
        <v>24</v>
      </c>
    </row>
    <row r="16" spans="1:9" ht="74.099999999999994">
      <c r="A16" s="13">
        <v>16</v>
      </c>
      <c r="B16" s="14" t="s">
        <v>80</v>
      </c>
      <c r="C16" s="13" t="s">
        <v>72</v>
      </c>
      <c r="D16" s="13" t="s">
        <v>50</v>
      </c>
      <c r="E16" s="15" t="s">
        <v>81</v>
      </c>
      <c r="F16" s="15" t="s">
        <v>23</v>
      </c>
      <c r="G16" s="15" t="s">
        <v>21</v>
      </c>
      <c r="H16" s="15" t="s">
        <v>24</v>
      </c>
      <c r="I16" s="15" t="s">
        <v>24</v>
      </c>
    </row>
    <row r="17" spans="1:9" ht="108.75">
      <c r="A17" s="13">
        <v>17</v>
      </c>
      <c r="B17" s="14" t="s">
        <v>82</v>
      </c>
      <c r="C17" s="13" t="s">
        <v>83</v>
      </c>
      <c r="D17" s="13" t="s">
        <v>52</v>
      </c>
      <c r="E17" s="23" t="s">
        <v>84</v>
      </c>
      <c r="F17" s="15" t="s">
        <v>11</v>
      </c>
      <c r="G17" s="25" t="s">
        <v>85</v>
      </c>
      <c r="H17" s="13">
        <v>2020</v>
      </c>
      <c r="I17" s="15" t="s">
        <v>62</v>
      </c>
    </row>
    <row r="18" spans="1:9" ht="129.6">
      <c r="A18" s="13">
        <v>18</v>
      </c>
      <c r="B18" s="14" t="s">
        <v>86</v>
      </c>
      <c r="C18" s="13" t="s">
        <v>83</v>
      </c>
      <c r="D18" s="13" t="s">
        <v>52</v>
      </c>
      <c r="E18" s="23" t="s">
        <v>87</v>
      </c>
      <c r="F18" s="15" t="s">
        <v>11</v>
      </c>
      <c r="G18" s="25" t="s">
        <v>88</v>
      </c>
      <c r="H18" s="15" t="s">
        <v>89</v>
      </c>
      <c r="I18" s="15" t="s">
        <v>90</v>
      </c>
    </row>
    <row r="19" spans="1:9" ht="126.75">
      <c r="B19" s="14" t="s">
        <v>91</v>
      </c>
      <c r="C19" s="13" t="s">
        <v>9</v>
      </c>
      <c r="D19" s="13" t="s">
        <v>52</v>
      </c>
      <c r="E19" s="23" t="s">
        <v>87</v>
      </c>
      <c r="F19" s="15" t="s">
        <v>11</v>
      </c>
      <c r="G19" s="25" t="s">
        <v>92</v>
      </c>
      <c r="H19" s="15">
        <v>2026</v>
      </c>
      <c r="I19" s="15" t="s">
        <v>21</v>
      </c>
    </row>
    <row r="20" spans="1:9" ht="108.75">
      <c r="B20" s="14" t="s">
        <v>93</v>
      </c>
      <c r="C20" s="13" t="s">
        <v>9</v>
      </c>
      <c r="D20" s="13" t="s">
        <v>52</v>
      </c>
      <c r="E20" s="23" t="s">
        <v>94</v>
      </c>
      <c r="F20" s="15" t="s">
        <v>11</v>
      </c>
      <c r="G20" s="25" t="s">
        <v>95</v>
      </c>
      <c r="H20" s="15" t="s">
        <v>21</v>
      </c>
      <c r="I20" s="15" t="s">
        <v>21</v>
      </c>
    </row>
    <row r="21" spans="1:9" ht="108.75">
      <c r="B21" s="14" t="s">
        <v>96</v>
      </c>
      <c r="C21" s="13" t="s">
        <v>9</v>
      </c>
      <c r="D21" s="13" t="s">
        <v>52</v>
      </c>
      <c r="E21" s="23" t="s">
        <v>97</v>
      </c>
      <c r="F21" s="15" t="s">
        <v>11</v>
      </c>
      <c r="G21" s="25" t="s">
        <v>98</v>
      </c>
      <c r="H21" s="15" t="s">
        <v>21</v>
      </c>
      <c r="I21" s="15" t="s">
        <v>21</v>
      </c>
    </row>
    <row r="22" spans="1:9" ht="90.75">
      <c r="B22" s="14" t="s">
        <v>99</v>
      </c>
      <c r="C22" s="13" t="s">
        <v>9</v>
      </c>
      <c r="D22" s="13" t="s">
        <v>52</v>
      </c>
      <c r="E22" s="23" t="s">
        <v>100</v>
      </c>
      <c r="F22" s="15" t="s">
        <v>11</v>
      </c>
      <c r="G22" s="25" t="s">
        <v>98</v>
      </c>
      <c r="H22" s="15" t="s">
        <v>21</v>
      </c>
      <c r="I22" s="15" t="s">
        <v>21</v>
      </c>
    </row>
    <row r="23" spans="1:9" ht="108.75">
      <c r="B23" s="14" t="s">
        <v>101</v>
      </c>
      <c r="C23" s="13" t="s">
        <v>9</v>
      </c>
      <c r="D23" s="13" t="s">
        <v>52</v>
      </c>
      <c r="E23" s="23" t="s">
        <v>102</v>
      </c>
      <c r="F23" s="15" t="s">
        <v>11</v>
      </c>
      <c r="G23" s="25" t="s">
        <v>103</v>
      </c>
      <c r="H23" s="15" t="s">
        <v>21</v>
      </c>
      <c r="I23" s="15" t="s">
        <v>21</v>
      </c>
    </row>
    <row r="24" spans="1:9" ht="108.75">
      <c r="B24" s="14" t="s">
        <v>104</v>
      </c>
      <c r="C24" s="13" t="s">
        <v>9</v>
      </c>
      <c r="D24" s="13" t="s">
        <v>52</v>
      </c>
      <c r="E24" s="23" t="s">
        <v>105</v>
      </c>
      <c r="F24" s="15" t="s">
        <v>11</v>
      </c>
      <c r="G24" s="25" t="s">
        <v>106</v>
      </c>
      <c r="H24" s="15" t="s">
        <v>107</v>
      </c>
      <c r="I24" s="15" t="s">
        <v>62</v>
      </c>
    </row>
    <row r="25" spans="1:9" ht="90.75">
      <c r="B25" s="14" t="s">
        <v>108</v>
      </c>
      <c r="C25" s="13" t="s">
        <v>9</v>
      </c>
      <c r="D25" s="13" t="s">
        <v>52</v>
      </c>
      <c r="E25" s="23" t="s">
        <v>109</v>
      </c>
      <c r="F25" s="15" t="s">
        <v>11</v>
      </c>
      <c r="G25" s="25" t="s">
        <v>110</v>
      </c>
      <c r="H25" s="15" t="s">
        <v>107</v>
      </c>
      <c r="I25" s="15" t="s">
        <v>62</v>
      </c>
    </row>
    <row r="26" spans="1:9" ht="90.75">
      <c r="B26" s="14" t="s">
        <v>111</v>
      </c>
      <c r="C26" s="13" t="s">
        <v>9</v>
      </c>
      <c r="D26" s="13" t="s">
        <v>52</v>
      </c>
      <c r="E26" s="23" t="s">
        <v>112</v>
      </c>
      <c r="F26" s="15" t="s">
        <v>11</v>
      </c>
      <c r="G26" s="25" t="s">
        <v>113</v>
      </c>
      <c r="H26" s="15" t="s">
        <v>107</v>
      </c>
      <c r="I26" s="15" t="s">
        <v>114</v>
      </c>
    </row>
    <row r="27" spans="1:9" ht="72.75">
      <c r="B27" s="14" t="s">
        <v>115</v>
      </c>
      <c r="C27" s="13" t="s">
        <v>9</v>
      </c>
      <c r="D27" s="13" t="s">
        <v>52</v>
      </c>
      <c r="E27" s="23" t="s">
        <v>116</v>
      </c>
      <c r="F27" s="15" t="s">
        <v>11</v>
      </c>
      <c r="G27" s="25" t="s">
        <v>117</v>
      </c>
      <c r="H27" s="15">
        <v>2025</v>
      </c>
      <c r="I27" s="15" t="s">
        <v>21</v>
      </c>
    </row>
    <row r="28" spans="1:9" ht="90.75">
      <c r="B28" s="14" t="s">
        <v>118</v>
      </c>
      <c r="C28" s="13" t="s">
        <v>9</v>
      </c>
      <c r="D28" s="13" t="s">
        <v>52</v>
      </c>
      <c r="E28" s="23" t="s">
        <v>119</v>
      </c>
      <c r="F28" s="15" t="s">
        <v>11</v>
      </c>
      <c r="G28" s="25" t="s">
        <v>117</v>
      </c>
      <c r="H28" s="15">
        <v>2026</v>
      </c>
      <c r="I28" s="15" t="s">
        <v>21</v>
      </c>
    </row>
    <row r="29" spans="1:9" ht="72.75">
      <c r="B29" s="14" t="s">
        <v>120</v>
      </c>
      <c r="C29" s="13" t="s">
        <v>9</v>
      </c>
      <c r="D29" s="13" t="s">
        <v>52</v>
      </c>
      <c r="E29" s="23" t="s">
        <v>121</v>
      </c>
      <c r="F29" s="15" t="s">
        <v>11</v>
      </c>
      <c r="G29" s="25" t="s">
        <v>117</v>
      </c>
      <c r="H29" s="15">
        <v>2025</v>
      </c>
      <c r="I29" s="15" t="s">
        <v>21</v>
      </c>
    </row>
    <row r="30" spans="1:9" ht="90.75">
      <c r="B30" s="14" t="s">
        <v>122</v>
      </c>
      <c r="C30" s="13" t="s">
        <v>9</v>
      </c>
      <c r="D30" s="13" t="s">
        <v>52</v>
      </c>
      <c r="E30" s="23" t="s">
        <v>123</v>
      </c>
      <c r="F30" s="15" t="s">
        <v>11</v>
      </c>
      <c r="G30" s="25" t="s">
        <v>117</v>
      </c>
      <c r="H30" s="15">
        <v>2025</v>
      </c>
      <c r="I30" s="15" t="s">
        <v>21</v>
      </c>
    </row>
    <row r="31" spans="1:9" ht="108.75">
      <c r="B31" s="14" t="s">
        <v>124</v>
      </c>
      <c r="C31" s="13" t="s">
        <v>9</v>
      </c>
      <c r="D31" s="13" t="s">
        <v>52</v>
      </c>
      <c r="E31" s="23" t="s">
        <v>125</v>
      </c>
      <c r="F31" s="15" t="s">
        <v>11</v>
      </c>
      <c r="G31" s="25" t="s">
        <v>117</v>
      </c>
      <c r="H31" s="15">
        <v>2025</v>
      </c>
      <c r="I31" s="15" t="s">
        <v>21</v>
      </c>
    </row>
    <row r="32" spans="1:9" ht="18.75">
      <c r="C32" s="13"/>
      <c r="D32" s="13"/>
      <c r="E32" s="23"/>
      <c r="F32" s="15"/>
      <c r="G32" s="25"/>
      <c r="H32" s="15"/>
      <c r="I32" s="15"/>
    </row>
    <row r="33" spans="2:4" ht="18.75">
      <c r="D33" s="13"/>
    </row>
    <row r="45" spans="2:4">
      <c r="B45" t="s">
        <v>42</v>
      </c>
    </row>
  </sheetData>
  <autoFilter ref="A1:I16" xr:uid="{54C765B3-A866-44BB-B0EB-EC23756101E0}"/>
  <sortState xmlns:xlrd2="http://schemas.microsoft.com/office/spreadsheetml/2017/richdata2" ref="A2:I16">
    <sortCondition descending="1" ref="F2:F16"/>
  </sortState>
  <hyperlinks>
    <hyperlink ref="G5" r:id="rId1" xr:uid="{4E7DDD5A-8A4D-481F-9DF6-F985C9F92E5A}"/>
    <hyperlink ref="G4" r:id="rId2" xr:uid="{F6873E27-DD5E-4DCB-BB0E-7D2F9F808412}"/>
    <hyperlink ref="G10" r:id="rId3" xr:uid="{B88DD830-68AB-4F29-B158-13C2A05A501F}"/>
    <hyperlink ref="G18" r:id="rId4" xr:uid="{A5846864-9FBA-4211-AE82-400F6173A7B7}"/>
    <hyperlink ref="G17" r:id="rId5" xr:uid="{002FB156-CA5C-460D-948B-1D55B78500F1}"/>
    <hyperlink ref="G6" r:id="rId6" xr:uid="{0C2F98C5-49FA-4CFA-9F2E-F086F47BA497}"/>
    <hyperlink ref="G7" r:id="rId7" xr:uid="{6B792099-4343-4835-B39B-4D6863EB619E}"/>
    <hyperlink ref="G11" r:id="rId8" xr:uid="{D95827A5-0BD2-43CF-804F-DADA1483BAE4}"/>
    <hyperlink ref="G19" r:id="rId9" xr:uid="{43EDA2DE-C85D-4BCA-8BD2-F6D05F5BB9BF}"/>
    <hyperlink ref="G20" r:id="rId10" xr:uid="{DD7D0CA0-83DD-4AFF-A5BC-C28E07BA1ED1}"/>
    <hyperlink ref="G21" r:id="rId11" xr:uid="{BBEE2FD1-4F63-44C4-AC57-22BE55E23FC1}"/>
    <hyperlink ref="G22" r:id="rId12" xr:uid="{B049E9DC-D294-4B0F-BA33-DF057539D5AB}"/>
    <hyperlink ref="G23" r:id="rId13" xr:uid="{6D1BFEA7-0D4E-436B-9A43-A316C0273C76}"/>
    <hyperlink ref="G24" r:id="rId14" xr:uid="{FBFB3583-4ECA-4A09-A4A3-F16D831C9932}"/>
    <hyperlink ref="G25" r:id="rId15" xr:uid="{53FBA67A-9C7F-4363-9BB9-564ED28FC984}"/>
    <hyperlink ref="G26" r:id="rId16" xr:uid="{E76B9194-57BE-4FB9-ACED-DA7E7B7F1B49}"/>
    <hyperlink ref="G27" r:id="rId17" xr:uid="{C99BC46E-90ED-404A-B51F-CF12CFDF9C84}"/>
    <hyperlink ref="G28" r:id="rId18" xr:uid="{E9FA190C-609C-4FF1-84AC-48F441421D17}"/>
    <hyperlink ref="G29" r:id="rId19" xr:uid="{5CC79880-78C2-4B33-BA89-4FBAB3B8870D}"/>
    <hyperlink ref="G30" r:id="rId20" xr:uid="{12C9C167-B283-4740-B628-988766E239FE}"/>
    <hyperlink ref="G31" r:id="rId21" xr:uid="{A8B575DC-C8F5-425E-B1D0-F9A5657373D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BE1E-51F7-4DE7-977F-CB79300A2784}">
  <dimension ref="A1:G14"/>
  <sheetViews>
    <sheetView workbookViewId="0">
      <selection activeCell="B1" sqref="B1"/>
    </sheetView>
  </sheetViews>
  <sheetFormatPr defaultRowHeight="14.45"/>
  <cols>
    <col min="2" max="2" width="36.42578125" bestFit="1" customWidth="1"/>
    <col min="3" max="3" width="16.28515625" bestFit="1" customWidth="1"/>
    <col min="4" max="4" width="40.85546875" bestFit="1" customWidth="1"/>
    <col min="5" max="5" width="45.140625" bestFit="1" customWidth="1"/>
  </cols>
  <sheetData>
    <row r="1" spans="1:7">
      <c r="A1" t="s">
        <v>126</v>
      </c>
      <c r="B1" t="s">
        <v>127</v>
      </c>
      <c r="C1" t="s">
        <v>44</v>
      </c>
      <c r="D1" t="s">
        <v>128</v>
      </c>
      <c r="E1" t="s">
        <v>129</v>
      </c>
      <c r="F1" t="s">
        <v>130</v>
      </c>
      <c r="G1" t="s">
        <v>131</v>
      </c>
    </row>
    <row r="2" spans="1:7">
      <c r="A2" t="s">
        <v>132</v>
      </c>
      <c r="B2" t="s">
        <v>91</v>
      </c>
      <c r="C2" t="s">
        <v>83</v>
      </c>
      <c r="D2" t="s">
        <v>133</v>
      </c>
      <c r="E2" s="26" t="s">
        <v>134</v>
      </c>
      <c r="F2">
        <v>2026</v>
      </c>
    </row>
    <row r="3" spans="1:7">
      <c r="A3" t="s">
        <v>132</v>
      </c>
      <c r="B3" t="s">
        <v>93</v>
      </c>
      <c r="C3" t="s">
        <v>83</v>
      </c>
      <c r="D3" t="s">
        <v>135</v>
      </c>
      <c r="E3" s="26" t="s">
        <v>136</v>
      </c>
      <c r="F3" t="s">
        <v>137</v>
      </c>
    </row>
    <row r="4" spans="1:7">
      <c r="A4" t="s">
        <v>138</v>
      </c>
      <c r="B4" t="s">
        <v>96</v>
      </c>
      <c r="C4" t="s">
        <v>83</v>
      </c>
      <c r="D4" t="s">
        <v>139</v>
      </c>
      <c r="E4" s="26" t="s">
        <v>98</v>
      </c>
      <c r="F4" t="s">
        <v>137</v>
      </c>
    </row>
    <row r="5" spans="1:7">
      <c r="A5" t="s">
        <v>138</v>
      </c>
      <c r="B5" t="s">
        <v>99</v>
      </c>
      <c r="C5" t="s">
        <v>83</v>
      </c>
      <c r="D5" t="s">
        <v>139</v>
      </c>
      <c r="E5" s="26" t="s">
        <v>98</v>
      </c>
      <c r="F5" t="s">
        <v>137</v>
      </c>
    </row>
    <row r="6" spans="1:7">
      <c r="A6" t="s">
        <v>140</v>
      </c>
      <c r="B6" t="s">
        <v>141</v>
      </c>
      <c r="C6" t="s">
        <v>83</v>
      </c>
      <c r="D6" t="s">
        <v>142</v>
      </c>
      <c r="E6" s="26" t="s">
        <v>143</v>
      </c>
      <c r="F6" t="s">
        <v>137</v>
      </c>
    </row>
    <row r="7" spans="1:7">
      <c r="A7" t="s">
        <v>144</v>
      </c>
      <c r="B7" t="s">
        <v>104</v>
      </c>
      <c r="C7" t="s">
        <v>83</v>
      </c>
      <c r="D7" t="s">
        <v>145</v>
      </c>
      <c r="E7" s="26" t="s">
        <v>146</v>
      </c>
      <c r="F7" t="s">
        <v>107</v>
      </c>
    </row>
    <row r="8" spans="1:7">
      <c r="A8" t="s">
        <v>144</v>
      </c>
      <c r="B8" t="s">
        <v>108</v>
      </c>
      <c r="C8" t="s">
        <v>83</v>
      </c>
      <c r="D8" t="s">
        <v>145</v>
      </c>
      <c r="E8" s="26" t="s">
        <v>146</v>
      </c>
      <c r="F8" t="s">
        <v>107</v>
      </c>
    </row>
    <row r="9" spans="1:7">
      <c r="A9" t="s">
        <v>144</v>
      </c>
      <c r="B9" t="s">
        <v>111</v>
      </c>
      <c r="C9" t="s">
        <v>83</v>
      </c>
      <c r="D9" t="s">
        <v>147</v>
      </c>
      <c r="E9" s="26" t="s">
        <v>148</v>
      </c>
      <c r="F9" t="s">
        <v>107</v>
      </c>
    </row>
    <row r="10" spans="1:7">
      <c r="A10" t="s">
        <v>149</v>
      </c>
      <c r="B10" t="s">
        <v>115</v>
      </c>
      <c r="C10" t="s">
        <v>83</v>
      </c>
      <c r="D10" t="s">
        <v>150</v>
      </c>
      <c r="E10" s="26" t="s">
        <v>151</v>
      </c>
      <c r="F10">
        <v>2025</v>
      </c>
    </row>
    <row r="11" spans="1:7">
      <c r="A11" t="s">
        <v>149</v>
      </c>
      <c r="B11" t="s">
        <v>118</v>
      </c>
      <c r="C11" t="s">
        <v>83</v>
      </c>
      <c r="D11" t="s">
        <v>150</v>
      </c>
      <c r="E11" s="26" t="s">
        <v>151</v>
      </c>
      <c r="F11">
        <v>2026</v>
      </c>
    </row>
    <row r="12" spans="1:7">
      <c r="A12" t="s">
        <v>149</v>
      </c>
      <c r="B12" t="s">
        <v>120</v>
      </c>
      <c r="C12" t="s">
        <v>83</v>
      </c>
      <c r="D12" t="s">
        <v>150</v>
      </c>
      <c r="E12" s="26" t="s">
        <v>151</v>
      </c>
      <c r="F12">
        <v>2025</v>
      </c>
    </row>
    <row r="13" spans="1:7">
      <c r="A13" t="s">
        <v>149</v>
      </c>
      <c r="B13" t="s">
        <v>122</v>
      </c>
      <c r="C13" t="s">
        <v>83</v>
      </c>
      <c r="D13" t="s">
        <v>150</v>
      </c>
      <c r="E13" s="26" t="s">
        <v>151</v>
      </c>
      <c r="F13">
        <v>2025</v>
      </c>
    </row>
    <row r="14" spans="1:7">
      <c r="A14" t="s">
        <v>149</v>
      </c>
      <c r="B14" t="s">
        <v>124</v>
      </c>
      <c r="C14" t="s">
        <v>83</v>
      </c>
      <c r="D14" t="s">
        <v>150</v>
      </c>
      <c r="E14" s="26" t="s">
        <v>151</v>
      </c>
      <c r="F14">
        <v>2025</v>
      </c>
    </row>
  </sheetData>
  <hyperlinks>
    <hyperlink ref="E2" r:id="rId1" display="https://mausam.imd.gov.in/responsive/rainfallinformation.php" xr:uid="{9F47BCA3-7E9A-4D76-9154-32E4BF7C6758}"/>
    <hyperlink ref="E3" r:id="rId2" display="https://dsp.imdpune.gov.in/home_gridded_climatology.php" xr:uid="{629F0DDA-182F-4BF7-A4BB-4A6FE9AB298D}"/>
    <hyperlink ref="E4" r:id="rId3" xr:uid="{9D7A1815-EF2E-4F0E-91AA-9889FE5BAA9F}"/>
    <hyperlink ref="E5" r:id="rId4" xr:uid="{9CCF3AC8-3B44-4038-97CC-D79D8533757D}"/>
    <hyperlink ref="E6" r:id="rId5" display="https://bhuvan-app3.nrsc.gov.in/data/download/index.php" xr:uid="{51E7C6D8-67CB-4466-8EB5-33CA9F843029}"/>
    <hyperlink ref="E7" r:id="rId6" display="https://www.data.desagri.gov.in/weblus/lus-source-irrigated-area-report-web" xr:uid="{CD054003-9767-4368-BE77-DB1A8CA6B68C}"/>
    <hyperlink ref="E8" r:id="rId7" display="https://www.data.desagri.gov.in/weblus/lus-source-irrigated-area-report-web" xr:uid="{56C737B1-553B-492A-883F-2697DE021318}"/>
    <hyperlink ref="E9" r:id="rId8" display="https://nwdp.nwic.gov.in/en/dataset/gwl-manual-quarterly-central-ground-water-board-department/resource/c81b1976-fcd3-4bad-aedb-8b38d957a1a8" xr:uid="{DAA7D9A4-178B-4F84-9F5D-FEA2BB8A8ECB}"/>
    <hyperlink ref="E10" r:id="rId9" display="https://www.satsure.co/solutions/agri-business/" xr:uid="{F5A92C70-4A97-4ACB-8BAC-0ECD78D953E8}"/>
    <hyperlink ref="E11:E14" r:id="rId10" display="https://www.satsure.co/solutions/agri-business/" xr:uid="{C8F9F8C0-99F6-4495-997E-4DE5891739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Akhil R Nair</dc:creator>
  <cp:keywords/>
  <dc:description/>
  <cp:lastModifiedBy/>
  <cp:revision/>
  <dcterms:created xsi:type="dcterms:W3CDTF">2026-08-19T08:31:52Z</dcterms:created>
  <dcterms:modified xsi:type="dcterms:W3CDTF">2026-08-26T12:18:56Z</dcterms:modified>
  <cp:category/>
  <cp:contentStatus/>
</cp:coreProperties>
</file>