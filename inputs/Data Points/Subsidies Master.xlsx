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defaultThemeVersion="202300"/>
  <mc:AlternateContent xmlns:mc="http://schemas.openxmlformats.org/markup-compatibility/2006">
    <mc:Choice Requires="x15">
      <x15ac:absPath xmlns:x15ac="http://schemas.microsoft.com/office/spreadsheetml/2010/11/ac" url="https://eyindia-my.sharepoint.com/personal/akhil_nair_parthenon_ey_com/Documents/Desktop/Data points/"/>
    </mc:Choice>
  </mc:AlternateContent>
  <xr:revisionPtr revIDLastSave="0" documentId="8_{3F5C9047-4716-43E2-9C83-061D2674E2E1}" xr6:coauthVersionLast="47" xr6:coauthVersionMax="47" xr10:uidLastSave="{00000000-0000-0000-0000-000000000000}"/>
  <bookViews>
    <workbookView xWindow="-110" yWindow="-110" windowWidth="19420" windowHeight="11500" firstSheet="12" activeTab="16" xr2:uid="{AD8D2645-037A-46C3-BA01-C31ED9D6FE13}"/>
  </bookViews>
  <sheets>
    <sheet name="Schemes Overview" sheetId="8" r:id="rId1"/>
    <sheet name="Irrigation Scheme" sheetId="9" r:id="rId2"/>
    <sheet name="SMAM Subsidy Pattern" sheetId="10" r:id="rId3"/>
    <sheet name="Bihar" sheetId="11" r:id="rId4"/>
    <sheet name="Combined" sheetId="20" r:id="rId5"/>
    <sheet name="Karnataka" sheetId="13" r:id="rId6"/>
    <sheet name="Gujarat" sheetId="12" r:id="rId7"/>
    <sheet name="Haryana" sheetId="7" r:id="rId8"/>
    <sheet name="Odisha" sheetId="2" r:id="rId9"/>
    <sheet name="Punjab" sheetId="6" r:id="rId10"/>
    <sheet name="Maharashtra" sheetId="1" r:id="rId11"/>
    <sheet name="Crop Residue Management Sc" sheetId="3" r:id="rId12"/>
    <sheet name="NFSM-wheat" sheetId="4" r:id="rId13"/>
    <sheet name="PM-KSY" sheetId="5" r:id="rId14"/>
    <sheet name="Sheet1" sheetId="21" r:id="rId15"/>
    <sheet name="Subsidy slide" sheetId="22" r:id="rId16"/>
    <sheet name="Subsidies list statewise" sheetId="23" r:id="rId17"/>
  </sheets>
  <definedNames>
    <definedName name="___thinkcell7KLAAAAAAAAABTYAAAADOMOKSVQX4LNWO5UBMXMWROWZS" localSheetId="0" hidden="1">'Schemes Overview'!$A$3</definedName>
    <definedName name="_xlnm._FilterDatabase" localSheetId="4" hidden="1">Combined!$A$1:$J$58</definedName>
    <definedName name="_xlnm._FilterDatabase" localSheetId="10" hidden="1">Maharashtra!$A$2:$G$34</definedName>
    <definedName name="_xlnm._FilterDatabase" localSheetId="9" hidden="1">Punjab!$A$11:$E$57</definedName>
    <definedName name="_xlnm._FilterDatabase" localSheetId="15" hidden="1">'Subsidy slide'!$A$1:$Q$58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57" i="22" l="1"/>
  <c r="O57" i="22"/>
  <c r="N57" i="22"/>
  <c r="M57" i="22"/>
  <c r="P56" i="22"/>
  <c r="O56" i="22"/>
  <c r="N56" i="22"/>
  <c r="M56" i="22"/>
  <c r="P55" i="22"/>
  <c r="O55" i="22"/>
  <c r="N55" i="22"/>
  <c r="M55" i="22"/>
  <c r="Q55" i="22" s="1"/>
  <c r="P54" i="22"/>
  <c r="O54" i="22"/>
  <c r="N54" i="22"/>
  <c r="M54" i="22"/>
  <c r="P53" i="22"/>
  <c r="O53" i="22"/>
  <c r="N53" i="22"/>
  <c r="M53" i="22"/>
  <c r="P52" i="22"/>
  <c r="O52" i="22"/>
  <c r="N52" i="22"/>
  <c r="M52" i="22"/>
  <c r="P51" i="22"/>
  <c r="O51" i="22"/>
  <c r="N51" i="22"/>
  <c r="M51" i="22"/>
  <c r="Q51" i="22" s="1"/>
  <c r="P50" i="22"/>
  <c r="O50" i="22"/>
  <c r="N50" i="22"/>
  <c r="M50" i="22"/>
  <c r="P49" i="22"/>
  <c r="O49" i="22"/>
  <c r="N49" i="22"/>
  <c r="M49" i="22"/>
  <c r="P48" i="22"/>
  <c r="O48" i="22"/>
  <c r="N48" i="22"/>
  <c r="M48" i="22"/>
  <c r="P47" i="22"/>
  <c r="O47" i="22"/>
  <c r="N47" i="22"/>
  <c r="M47" i="22"/>
  <c r="P46" i="22"/>
  <c r="O46" i="22"/>
  <c r="N46" i="22"/>
  <c r="M46" i="22"/>
  <c r="P45" i="22"/>
  <c r="O45" i="22"/>
  <c r="N45" i="22"/>
  <c r="M45" i="22"/>
  <c r="P44" i="22"/>
  <c r="O44" i="22"/>
  <c r="N44" i="22"/>
  <c r="M44" i="22"/>
  <c r="P43" i="22"/>
  <c r="O43" i="22"/>
  <c r="N43" i="22"/>
  <c r="M43" i="22"/>
  <c r="Q43" i="22" s="1"/>
  <c r="P42" i="22"/>
  <c r="O42" i="22"/>
  <c r="N42" i="22"/>
  <c r="M42" i="22"/>
  <c r="P41" i="22"/>
  <c r="O41" i="22"/>
  <c r="N41" i="22"/>
  <c r="M41" i="22"/>
  <c r="P40" i="22"/>
  <c r="O40" i="22"/>
  <c r="N40" i="22"/>
  <c r="M40" i="22"/>
  <c r="P39" i="22"/>
  <c r="O39" i="22"/>
  <c r="N39" i="22"/>
  <c r="M39" i="22"/>
  <c r="Q39" i="22" s="1"/>
  <c r="P38" i="22"/>
  <c r="O38" i="22"/>
  <c r="N38" i="22"/>
  <c r="M38" i="22"/>
  <c r="P37" i="22"/>
  <c r="O37" i="22"/>
  <c r="N37" i="22"/>
  <c r="M37" i="22"/>
  <c r="P36" i="22"/>
  <c r="O36" i="22"/>
  <c r="N36" i="22"/>
  <c r="M36" i="22"/>
  <c r="P35" i="22"/>
  <c r="O35" i="22"/>
  <c r="N35" i="22"/>
  <c r="M35" i="22"/>
  <c r="P34" i="22"/>
  <c r="O34" i="22"/>
  <c r="N34" i="22"/>
  <c r="M34" i="22"/>
  <c r="P33" i="22"/>
  <c r="O33" i="22"/>
  <c r="N33" i="22"/>
  <c r="M33" i="22"/>
  <c r="P32" i="22"/>
  <c r="O32" i="22"/>
  <c r="N32" i="22"/>
  <c r="M32" i="22"/>
  <c r="P31" i="22"/>
  <c r="O31" i="22"/>
  <c r="N31" i="22"/>
  <c r="M31" i="22"/>
  <c r="P30" i="22"/>
  <c r="O30" i="22"/>
  <c r="N30" i="22"/>
  <c r="M30" i="22"/>
  <c r="P29" i="22"/>
  <c r="O29" i="22"/>
  <c r="N29" i="22"/>
  <c r="M29" i="22"/>
  <c r="P28" i="22"/>
  <c r="O28" i="22"/>
  <c r="N28" i="22"/>
  <c r="M28" i="22"/>
  <c r="P27" i="22"/>
  <c r="O27" i="22"/>
  <c r="N27" i="22"/>
  <c r="M27" i="22"/>
  <c r="P26" i="22"/>
  <c r="O26" i="22"/>
  <c r="N26" i="22"/>
  <c r="M26" i="22"/>
  <c r="P25" i="22"/>
  <c r="O25" i="22"/>
  <c r="N25" i="22"/>
  <c r="M25" i="22"/>
  <c r="P24" i="22"/>
  <c r="O24" i="22"/>
  <c r="N24" i="22"/>
  <c r="M24" i="22"/>
  <c r="P23" i="22"/>
  <c r="O23" i="22"/>
  <c r="N23" i="22"/>
  <c r="M23" i="22"/>
  <c r="P22" i="22"/>
  <c r="O22" i="22"/>
  <c r="N22" i="22"/>
  <c r="M22" i="22"/>
  <c r="P21" i="22"/>
  <c r="O21" i="22"/>
  <c r="N21" i="22"/>
  <c r="M21" i="22"/>
  <c r="P20" i="22"/>
  <c r="O20" i="22"/>
  <c r="N20" i="22"/>
  <c r="M20" i="22"/>
  <c r="P19" i="22"/>
  <c r="O19" i="22"/>
  <c r="N19" i="22"/>
  <c r="M19" i="22"/>
  <c r="P18" i="22"/>
  <c r="O18" i="22"/>
  <c r="N18" i="22"/>
  <c r="M18" i="22"/>
  <c r="P17" i="22"/>
  <c r="O17" i="22"/>
  <c r="N17" i="22"/>
  <c r="M17" i="22"/>
  <c r="P16" i="22"/>
  <c r="O16" i="22"/>
  <c r="N16" i="22"/>
  <c r="M16" i="22"/>
  <c r="P15" i="22"/>
  <c r="O15" i="22"/>
  <c r="N15" i="22"/>
  <c r="M15" i="22"/>
  <c r="P14" i="22"/>
  <c r="O14" i="22"/>
  <c r="N14" i="22"/>
  <c r="M14" i="22"/>
  <c r="P13" i="22"/>
  <c r="O13" i="22"/>
  <c r="N13" i="22"/>
  <c r="M13" i="22"/>
  <c r="P12" i="22"/>
  <c r="O12" i="22"/>
  <c r="N12" i="22"/>
  <c r="M12" i="22"/>
  <c r="P11" i="22"/>
  <c r="O11" i="22"/>
  <c r="N11" i="22"/>
  <c r="M11" i="22"/>
  <c r="P10" i="22"/>
  <c r="O10" i="22"/>
  <c r="N10" i="22"/>
  <c r="M10" i="22"/>
  <c r="P9" i="22"/>
  <c r="O9" i="22"/>
  <c r="N9" i="22"/>
  <c r="M9" i="22"/>
  <c r="P8" i="22"/>
  <c r="O8" i="22"/>
  <c r="N8" i="22"/>
  <c r="M8" i="22"/>
  <c r="P7" i="22"/>
  <c r="O7" i="22"/>
  <c r="N7" i="22"/>
  <c r="M7" i="22"/>
  <c r="P6" i="22"/>
  <c r="O6" i="22"/>
  <c r="N6" i="22"/>
  <c r="M6" i="22"/>
  <c r="P5" i="22"/>
  <c r="O5" i="22"/>
  <c r="N5" i="22"/>
  <c r="M5" i="22"/>
  <c r="P4" i="22"/>
  <c r="O4" i="22"/>
  <c r="N4" i="22"/>
  <c r="M4" i="22"/>
  <c r="P3" i="22"/>
  <c r="O3" i="22"/>
  <c r="N3" i="22"/>
  <c r="M3" i="22"/>
  <c r="P2" i="22"/>
  <c r="O2" i="22"/>
  <c r="N2" i="22"/>
  <c r="M2" i="22"/>
  <c r="Q4" i="22" l="1"/>
  <c r="Q20" i="22"/>
  <c r="Q36" i="22"/>
  <c r="Q44" i="22"/>
  <c r="Q52" i="22"/>
  <c r="Q6" i="22"/>
  <c r="Q10" i="22"/>
  <c r="Q34" i="22"/>
  <c r="Q54" i="22"/>
  <c r="Q24" i="22"/>
  <c r="Q28" i="22"/>
  <c r="Q31" i="22"/>
  <c r="Q5" i="22"/>
  <c r="Q9" i="22"/>
  <c r="Q17" i="22"/>
  <c r="Q21" i="22"/>
  <c r="Q25" i="22"/>
  <c r="Q29" i="22"/>
  <c r="Q33" i="22"/>
  <c r="Q37" i="22"/>
  <c r="Q41" i="22"/>
  <c r="Q45" i="22"/>
  <c r="Q49" i="22"/>
  <c r="Q53" i="22"/>
  <c r="Q57" i="22"/>
  <c r="Q8" i="22"/>
  <c r="Q12" i="22"/>
  <c r="Q47" i="22"/>
  <c r="Q32" i="22"/>
  <c r="Q16" i="22"/>
  <c r="Q40" i="22"/>
  <c r="M58" i="22"/>
  <c r="Q48" i="22"/>
  <c r="Q56" i="22"/>
  <c r="Q14" i="22"/>
  <c r="Q22" i="22"/>
  <c r="Q26" i="22"/>
  <c r="Q13" i="22"/>
  <c r="Q30" i="22"/>
  <c r="Q18" i="22"/>
  <c r="Q38" i="22"/>
  <c r="Q7" i="22"/>
  <c r="Q11" i="22"/>
  <c r="Q19" i="22"/>
  <c r="Q42" i="22"/>
  <c r="Q50" i="22"/>
  <c r="Q23" i="22"/>
  <c r="Q27" i="22"/>
  <c r="Q46" i="22"/>
  <c r="Q15" i="22"/>
  <c r="Q35" i="22"/>
  <c r="N58" i="22"/>
  <c r="O58" i="22"/>
  <c r="P58" i="22"/>
  <c r="Q3" i="22"/>
  <c r="Q2" i="22"/>
  <c r="Q58" i="22" l="1"/>
  <c r="P3" i="20" l="1"/>
  <c r="P4" i="20"/>
  <c r="P5" i="20"/>
  <c r="P6" i="20"/>
  <c r="P7" i="20"/>
  <c r="P8" i="20"/>
  <c r="P9" i="20"/>
  <c r="P10" i="20"/>
  <c r="P11" i="20"/>
  <c r="P12" i="20"/>
  <c r="P13" i="20"/>
  <c r="P14" i="20"/>
  <c r="P15" i="20"/>
  <c r="P16" i="20"/>
  <c r="P17" i="20"/>
  <c r="P18" i="20"/>
  <c r="P19" i="20"/>
  <c r="P20" i="20"/>
  <c r="P21" i="20"/>
  <c r="P22" i="20"/>
  <c r="P23" i="20"/>
  <c r="P24" i="20"/>
  <c r="P25" i="20"/>
  <c r="P26" i="20"/>
  <c r="P27" i="20"/>
  <c r="P28" i="20"/>
  <c r="P29" i="20"/>
  <c r="P30" i="20"/>
  <c r="P31" i="20"/>
  <c r="P32" i="20"/>
  <c r="P33" i="20"/>
  <c r="P34" i="20"/>
  <c r="P35" i="20"/>
  <c r="P36" i="20"/>
  <c r="P37" i="20"/>
  <c r="P38" i="20"/>
  <c r="P39" i="20"/>
  <c r="P40" i="20"/>
  <c r="P41" i="20"/>
  <c r="P42" i="20"/>
  <c r="P43" i="20"/>
  <c r="P44" i="20"/>
  <c r="P45" i="20"/>
  <c r="P46" i="20"/>
  <c r="P47" i="20"/>
  <c r="P48" i="20"/>
  <c r="P49" i="20"/>
  <c r="P50" i="20"/>
  <c r="P51" i="20"/>
  <c r="P52" i="20"/>
  <c r="P53" i="20"/>
  <c r="P54" i="20"/>
  <c r="P55" i="20"/>
  <c r="P56" i="20"/>
  <c r="P57" i="20"/>
  <c r="P2" i="20"/>
  <c r="O3" i="20"/>
  <c r="O4" i="20"/>
  <c r="O5" i="20"/>
  <c r="O6" i="20"/>
  <c r="O7" i="20"/>
  <c r="O8" i="20"/>
  <c r="O9" i="20"/>
  <c r="O10" i="20"/>
  <c r="O11" i="20"/>
  <c r="O12" i="20"/>
  <c r="O13" i="20"/>
  <c r="O14" i="20"/>
  <c r="O15" i="20"/>
  <c r="O16" i="20"/>
  <c r="O17" i="20"/>
  <c r="O18" i="20"/>
  <c r="O19" i="20"/>
  <c r="O20" i="20"/>
  <c r="O21" i="20"/>
  <c r="O22" i="20"/>
  <c r="O23" i="20"/>
  <c r="O24" i="20"/>
  <c r="O25" i="20"/>
  <c r="O26" i="20"/>
  <c r="O27" i="20"/>
  <c r="O28" i="20"/>
  <c r="O29" i="20"/>
  <c r="O30" i="20"/>
  <c r="O31" i="20"/>
  <c r="O32" i="20"/>
  <c r="O33" i="20"/>
  <c r="O34" i="20"/>
  <c r="O35" i="20"/>
  <c r="O36" i="20"/>
  <c r="O37" i="20"/>
  <c r="O38" i="20"/>
  <c r="O39" i="20"/>
  <c r="O40" i="20"/>
  <c r="O41" i="20"/>
  <c r="O42" i="20"/>
  <c r="O43" i="20"/>
  <c r="O44" i="20"/>
  <c r="O45" i="20"/>
  <c r="O46" i="20"/>
  <c r="O47" i="20"/>
  <c r="O48" i="20"/>
  <c r="O49" i="20"/>
  <c r="O50" i="20"/>
  <c r="O51" i="20"/>
  <c r="O52" i="20"/>
  <c r="O53" i="20"/>
  <c r="O54" i="20"/>
  <c r="O55" i="20"/>
  <c r="O56" i="20"/>
  <c r="O57" i="20"/>
  <c r="O2" i="20"/>
  <c r="O58" i="20" s="1"/>
  <c r="N3" i="20"/>
  <c r="N4" i="20"/>
  <c r="N5" i="20"/>
  <c r="N6" i="20"/>
  <c r="N7" i="20"/>
  <c r="N8" i="20"/>
  <c r="N9" i="20"/>
  <c r="N10" i="20"/>
  <c r="N11" i="20"/>
  <c r="N12" i="20"/>
  <c r="N13" i="20"/>
  <c r="N14" i="20"/>
  <c r="N15" i="20"/>
  <c r="N16" i="20"/>
  <c r="N17" i="20"/>
  <c r="N18" i="20"/>
  <c r="N19" i="20"/>
  <c r="N20" i="20"/>
  <c r="N21" i="20"/>
  <c r="N22" i="20"/>
  <c r="N23" i="20"/>
  <c r="N24" i="20"/>
  <c r="N25" i="20"/>
  <c r="N26" i="20"/>
  <c r="N27" i="20"/>
  <c r="N28" i="20"/>
  <c r="N29" i="20"/>
  <c r="N30" i="20"/>
  <c r="N31" i="20"/>
  <c r="N32" i="20"/>
  <c r="N33" i="20"/>
  <c r="N34" i="20"/>
  <c r="N35" i="20"/>
  <c r="N36" i="20"/>
  <c r="N37" i="20"/>
  <c r="N38" i="20"/>
  <c r="N39" i="20"/>
  <c r="N40" i="20"/>
  <c r="N41" i="20"/>
  <c r="N42" i="20"/>
  <c r="N43" i="20"/>
  <c r="Q43" i="20" s="1"/>
  <c r="N44" i="20"/>
  <c r="N45" i="20"/>
  <c r="N46" i="20"/>
  <c r="N47" i="20"/>
  <c r="N48" i="20"/>
  <c r="N49" i="20"/>
  <c r="N50" i="20"/>
  <c r="N51" i="20"/>
  <c r="N52" i="20"/>
  <c r="N53" i="20"/>
  <c r="N54" i="20"/>
  <c r="N55" i="20"/>
  <c r="N56" i="20"/>
  <c r="N57" i="20"/>
  <c r="N2" i="20"/>
  <c r="M3" i="20"/>
  <c r="M4" i="20"/>
  <c r="M5" i="20"/>
  <c r="M6" i="20"/>
  <c r="M7" i="20"/>
  <c r="M8" i="20"/>
  <c r="M9" i="20"/>
  <c r="M10" i="20"/>
  <c r="M11" i="20"/>
  <c r="M12" i="20"/>
  <c r="M13" i="20"/>
  <c r="M14" i="20"/>
  <c r="M15" i="20"/>
  <c r="M16" i="20"/>
  <c r="M17" i="20"/>
  <c r="M18" i="20"/>
  <c r="M19" i="20"/>
  <c r="M20" i="20"/>
  <c r="M21" i="20"/>
  <c r="M22" i="20"/>
  <c r="M23" i="20"/>
  <c r="M24" i="20"/>
  <c r="M25" i="20"/>
  <c r="M26" i="20"/>
  <c r="M27" i="20"/>
  <c r="M28" i="20"/>
  <c r="M29" i="20"/>
  <c r="M30" i="20"/>
  <c r="M31" i="20"/>
  <c r="M32" i="20"/>
  <c r="M33" i="20"/>
  <c r="M34" i="20"/>
  <c r="M35" i="20"/>
  <c r="M36" i="20"/>
  <c r="M37" i="20"/>
  <c r="M38" i="20"/>
  <c r="M39" i="20"/>
  <c r="M40" i="20"/>
  <c r="M41" i="20"/>
  <c r="M42" i="20"/>
  <c r="M43" i="20"/>
  <c r="M44" i="20"/>
  <c r="M45" i="20"/>
  <c r="M46" i="20"/>
  <c r="M47" i="20"/>
  <c r="M48" i="20"/>
  <c r="M49" i="20"/>
  <c r="M50" i="20"/>
  <c r="M51" i="20"/>
  <c r="M52" i="20"/>
  <c r="M53" i="20"/>
  <c r="Q53" i="20" s="1"/>
  <c r="M54" i="20"/>
  <c r="M55" i="20"/>
  <c r="M56" i="20"/>
  <c r="M57" i="20"/>
  <c r="M2" i="20"/>
  <c r="M58" i="20" s="1"/>
  <c r="M1" i="20"/>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 i="1"/>
  <c r="Q41" i="20" l="1"/>
  <c r="N58" i="20"/>
  <c r="P58" i="20"/>
  <c r="Q7" i="20"/>
  <c r="Q21" i="20"/>
  <c r="Q27" i="20"/>
  <c r="Q42" i="20"/>
  <c r="Q9" i="20"/>
  <c r="Q8" i="20"/>
  <c r="Q26" i="20"/>
  <c r="Q39" i="20"/>
  <c r="Q10" i="20"/>
  <c r="Q24" i="20"/>
  <c r="Q56" i="20"/>
  <c r="Q37" i="20"/>
  <c r="Q28" i="20"/>
  <c r="Q40" i="20"/>
  <c r="Q23" i="20"/>
  <c r="Q25" i="20"/>
  <c r="Q57" i="20"/>
  <c r="Q55" i="20"/>
  <c r="Q11" i="20"/>
  <c r="Q5" i="20"/>
  <c r="Q54" i="20"/>
  <c r="Q22" i="20"/>
  <c r="Q6" i="20"/>
  <c r="Q38" i="20"/>
  <c r="Q44" i="20"/>
  <c r="Q12" i="20"/>
  <c r="Q2" i="20"/>
  <c r="Q36" i="20"/>
  <c r="Q4" i="20"/>
  <c r="Q35" i="20"/>
  <c r="Q19" i="20"/>
  <c r="Q34" i="20"/>
  <c r="Q33" i="20"/>
  <c r="Q48" i="20"/>
  <c r="Q32" i="20"/>
  <c r="Q16" i="20"/>
  <c r="Q47" i="20"/>
  <c r="Q31" i="20"/>
  <c r="Q15" i="20"/>
  <c r="Q46" i="20"/>
  <c r="Q30" i="20"/>
  <c r="Q14" i="20"/>
  <c r="Q52" i="20"/>
  <c r="Q20" i="20"/>
  <c r="Q51" i="20"/>
  <c r="Q3" i="20"/>
  <c r="Q50" i="20"/>
  <c r="Q18" i="20"/>
  <c r="Q49" i="20"/>
  <c r="Q17" i="20"/>
  <c r="Q45" i="20"/>
  <c r="Q29" i="20"/>
  <c r="Q13" i="20"/>
  <c r="Q58" i="20" l="1"/>
</calcChain>
</file>

<file path=xl/sharedStrings.xml><?xml version="1.0" encoding="utf-8"?>
<sst xmlns="http://schemas.openxmlformats.org/spreadsheetml/2006/main" count="1762" uniqueCount="959">
  <si>
    <t>Sub-mission On Agriculture Mechanization</t>
  </si>
  <si>
    <t>State Schemes -SMAM</t>
  </si>
  <si>
    <t>under PM-RKVY</t>
  </si>
  <si>
    <t>Crop Residue Management Schemes</t>
  </si>
  <si>
    <t>Subsidy</t>
  </si>
  <si>
    <t>SSMS</t>
  </si>
  <si>
    <t>Happy Seeder</t>
  </si>
  <si>
    <t>Super Seeder</t>
  </si>
  <si>
    <t>Smart Seeder</t>
  </si>
  <si>
    <t>Surface Seeder</t>
  </si>
  <si>
    <t>Zero till seed cum fertilizer drill</t>
  </si>
  <si>
    <t>Balers</t>
  </si>
  <si>
    <t>Straw Rakes</t>
  </si>
  <si>
    <t>Women Self Help Groups (SHGs) ONLY</t>
  </si>
  <si>
    <t>Drones</t>
  </si>
  <si>
    <t>UP only</t>
  </si>
  <si>
    <t>up to a maximum of Rs. 8.00 lakhs per drone to the selected women SHGs.</t>
  </si>
  <si>
    <t>Press Release:Press Information Bureau</t>
  </si>
  <si>
    <t>Affected states</t>
  </si>
  <si>
    <t>Punjab</t>
  </si>
  <si>
    <t>Haryana</t>
  </si>
  <si>
    <t>UP</t>
  </si>
  <si>
    <t>Delhi</t>
  </si>
  <si>
    <t>Irrigation scheme:</t>
  </si>
  <si>
    <t>PDMC Scheme: Per Drop More Crop for Water Efficiency | BigHaat</t>
  </si>
  <si>
    <t>Scheme Name: Per Drop More Crop (PDMC)</t>
  </si>
  <si>
    <t>Type of Government Scheme: Centrally Sponsored Scheme</t>
  </si>
  <si>
    <t>Implementation: Implemented under Rashtriya Krishi Vikas Yojana (RKVY) from 2022-23</t>
  </si>
  <si>
    <t>Scheme Type: National Scheme</t>
  </si>
  <si>
    <t>Covered States: The PDMC Scheme covers all states across India, including Andhra Pradesh, Arunachal Pradesh, Assam, Bihar, Chhattisgarh, Goa, Gujarat, Haryana, Himachal Pradesh, Jammu and Kashmir, Jharkhand, Karnataka, Kerala, Madhya Pradesh, Maharashtra, Manipur, Meghalaya, Mizoram, Nagaland, Odisha, Punjab, Rajasthan, Sikkim, Tamil Nadu, Telangana, Tripura, Uttar Pradesh, Uttarakhand, and West Bengal.</t>
  </si>
  <si>
    <t>Features of PDMC Scheme</t>
  </si>
  <si>
    <t>Feature</t>
  </si>
  <si>
    <t>Per Drop More Crop Scheme Details</t>
  </si>
  <si>
    <t>Funding Pattern (Centre: State)</t>
  </si>
  <si>
    <t>60:40 for all states, 90:10 for North Eastern and Himalayan States, 100% grant for Union Territories</t>
  </si>
  <si>
    <t>Key Focus Areas</t>
  </si>
  <si>
    <t>Rainfed areas, water scarce, water-stressed, and critical groundwater blocks/districts</t>
  </si>
  <si>
    <t>Implementation</t>
  </si>
  <si>
    <t>Under RKVY, with a focus on Direct Benefit Transfer (DBT) and Aadhaar details</t>
  </si>
  <si>
    <t>Pattern of Assistance to Beneficiary</t>
  </si>
  <si>
    <t>55% for small and marginal farmers, 45% for other farmers</t>
  </si>
  <si>
    <t>Allocation for Special Component Plan (SCP) &amp; Tribal Sub Plan (TSP)</t>
  </si>
  <si>
    <t>16.5% and 8.5% respectively, or in proportion to SC/ST population in the district</t>
  </si>
  <si>
    <t>Subsidy Limit</t>
  </si>
  <si>
    <t>Limited to an overall ceiling of 5 hectares per beneficiary</t>
  </si>
  <si>
    <t>Duration of Subsidy Eligibility</t>
  </si>
  <si>
    <t>Beneficiaries eligible for subsidy again after the projected life of the micro irrigation system (7 years)</t>
  </si>
  <si>
    <t>Additional Subsidy for Specific Regions</t>
  </si>
  <si>
    <t>25% higher amounts for North Eastern, Himalayan States, UTS of JK &amp; Ladakh, and 15% higher for states with low penetration of Micro Irrigation</t>
  </si>
  <si>
    <t>Inclusion in Annual Action Plan (AAP)</t>
  </si>
  <si>
    <t>States must include all Aspirational Districts, with priority to Namami Gange Districts/Gram Panchayats (GPs)</t>
  </si>
  <si>
    <t>Cluster Approach</t>
  </si>
  <si>
    <t>States/UTs should prioritize implementation of Micro Irrigation through a cluster approach, with specific criteria for mainland and hilly states</t>
  </si>
  <si>
    <t>Financial Assistance in Groups</t>
  </si>
  <si>
    <t>55% total financial assistance available to individual beneficiaries in a group</t>
  </si>
  <si>
    <t>Per Drop More Crop Scheme Benefits</t>
  </si>
  <si>
    <t>Increased water use efficiency in agriculture</t>
  </si>
  <si>
    <t>Enhanced crop productivity and income for farmers</t>
  </si>
  <si>
    <t>Promotion of fertigation and liquid fertilizers through micro irrigation systems</t>
  </si>
  <si>
    <t>Integration with tube-well/river-lift irrigation projects for energy efficiency</t>
  </si>
  <si>
    <t>Support for reuse of wastewater in agriculture/peri-urban horticulture</t>
  </si>
  <si>
    <t>Creation of employment opportunities for skilled and unskilled individuals</t>
  </si>
  <si>
    <t>Revised_SMAM_Guidelines_(2025)_With_Covering.pdf</t>
  </si>
  <si>
    <t>Component / Beneficiary</t>
  </si>
  <si>
    <t>Subsidy Pattern</t>
  </si>
  <si>
    <t>Project / Cost Limit</t>
  </si>
  <si>
    <t>Notes</t>
  </si>
  <si>
    <r>
      <t>Individual Farmers</t>
    </r>
    <r>
      <rPr>
        <sz val="11"/>
        <color theme="1"/>
        <rFont val="Aptos Narrow"/>
        <family val="2"/>
        <scheme val="minor"/>
      </rPr>
      <t xml:space="preserve"> (SC/ST / Small &amp; Marginal / Women / NE &amp; Himalayan farmers)</t>
    </r>
  </si>
  <si>
    <t>50% of machine cost</t>
  </si>
  <si>
    <t>Subject to machine-wise cap (Annexure-I)</t>
  </si>
  <si>
    <t>Expensive machines limited to 25% of allocation</t>
  </si>
  <si>
    <t>Individual Farmers (Others)</t>
  </si>
  <si>
    <t>40% of machine cost</t>
  </si>
  <si>
    <t>Subject to machine-wise cap</t>
  </si>
  <si>
    <t>—</t>
  </si>
  <si>
    <t>FRA Patta Holders</t>
  </si>
  <si>
    <t>90% of machine cost</t>
  </si>
  <si>
    <t>From DAPST allocation</t>
  </si>
  <si>
    <t>Custom Hiring Centre (CHC)</t>
  </si>
  <si>
    <t>40% of project cost</t>
  </si>
  <si>
    <t>Up to ₹250 lakh project cost</t>
  </si>
  <si>
    <t>Credit-linked back-ended subsidy</t>
  </si>
  <si>
    <t>Kisan Drone – CHC (Agri Graduate)</t>
  </si>
  <si>
    <t>50% of basic cost OR ₹5 lakh (whichever less)</t>
  </si>
  <si>
    <t>Special drone provision</t>
  </si>
  <si>
    <t>Farm Machinery Bank (FMB)</t>
  </si>
  <si>
    <t>80% of project cost</t>
  </si>
  <si>
    <t>Up to ₹30 lakh project cost</t>
  </si>
  <si>
    <t>Max assistance ₹24 lakh</t>
  </si>
  <si>
    <t>FMB – FRA Groups (SHG/FPO)</t>
  </si>
  <si>
    <t>90% of project cost</t>
  </si>
  <si>
    <t>Up to ₹30 lakh</t>
  </si>
  <si>
    <t>Max assistance ₹27 lakh</t>
  </si>
  <si>
    <t>FMB – Project &gt; ₹30 lakh</t>
  </si>
  <si>
    <t>Capped</t>
  </si>
  <si>
    <t>₹24 lakh (₹27 lakh for FRA)</t>
  </si>
  <si>
    <t>Machine-wise cap doubled from individual limit</t>
  </si>
  <si>
    <t>North Eastern Region – Individual Farmer</t>
  </si>
  <si>
    <t>100% subsidy</t>
  </si>
  <si>
    <t>Machine cost up to ₹1.25 lakh</t>
  </si>
  <si>
    <t>Special provision</t>
  </si>
  <si>
    <t>NE Region – FMB</t>
  </si>
  <si>
    <t>95% of project cost</t>
  </si>
  <si>
    <t>Max ₹28.5 lakh</t>
  </si>
  <si>
    <t>Drone Hiring Assistance (S&amp;M Farmers)</t>
  </si>
  <si>
    <t>₹2,000 per hectare</t>
  </si>
  <si>
    <t>Up to 2 ha/year</t>
  </si>
  <si>
    <t>DBT mode</t>
  </si>
  <si>
    <t>Model Villages Mechanization</t>
  </si>
  <si>
    <t>Machinery provided at low/free rental</t>
  </si>
  <si>
    <t>Ownership with Dept.</t>
  </si>
  <si>
    <t>Funded via Flexi funds (≤25%)</t>
  </si>
  <si>
    <t>Demonstrations – Govt Institutions</t>
  </si>
  <si>
    <t>100% grant</t>
  </si>
  <si>
    <t>Central funded</t>
  </si>
  <si>
    <t>Demonstrations – FPOs</t>
  </si>
  <si>
    <t>75% grant</t>
  </si>
  <si>
    <t>Skilling / Training Institutes</t>
  </si>
  <si>
    <t>For machinery purchase</t>
  </si>
  <si>
    <t>Testing Facilities</t>
  </si>
  <si>
    <t>₹1.5 crore (one-time)</t>
  </si>
  <si>
    <t>Additional ₹1 crore possible</t>
  </si>
  <si>
    <t>For institutes</t>
  </si>
  <si>
    <t>Grassroots Innovation (Phase 1)</t>
  </si>
  <si>
    <t>Up to ₹5 lakh</t>
  </si>
  <si>
    <t>Grassroots Innovation (Phase 2)</t>
  </si>
  <si>
    <t>₹5–35 lakh</t>
  </si>
  <si>
    <t>State Category</t>
  </si>
  <si>
    <t>Sharing Pattern</t>
  </si>
  <si>
    <t>Normal States</t>
  </si>
  <si>
    <t>NE &amp; Himalayan States</t>
  </si>
  <si>
    <t>Union Territories</t>
  </si>
  <si>
    <t>Subsidy Pattern:</t>
  </si>
  <si>
    <t>MechanizationImplementList2025_2026.pdf</t>
  </si>
  <si>
    <r>
      <t>General Category:</t>
    </r>
    <r>
      <rPr>
        <sz val="11"/>
        <color theme="1"/>
        <rFont val="Aptos Narrow"/>
        <family val="2"/>
        <scheme val="minor"/>
      </rPr>
      <t xml:space="preserve"> 40% of cost (up to max limit shown)</t>
    </r>
  </si>
  <si>
    <r>
      <t>SC/ST Category:</t>
    </r>
    <r>
      <rPr>
        <sz val="11"/>
        <color theme="1"/>
        <rFont val="Aptos Narrow"/>
        <family val="2"/>
        <scheme val="minor"/>
      </rPr>
      <t xml:space="preserve"> 50% of cost (up to max limit shown)</t>
    </r>
  </si>
  <si>
    <t>Some items have 75% / 80% support (Crop Residue Management sectio</t>
  </si>
  <si>
    <t>Implement</t>
  </si>
  <si>
    <t>General (40%) Max ₹</t>
  </si>
  <si>
    <t>SC/ST (50%) Max ₹</t>
  </si>
  <si>
    <t>General</t>
  </si>
  <si>
    <t>SC/ST</t>
  </si>
  <si>
    <t>Small Agriculture Manual Tool Kit</t>
  </si>
  <si>
    <t>80% max 800</t>
  </si>
  <si>
    <t>Battery Operated Brush Cutter</t>
  </si>
  <si>
    <t>40% max 8000</t>
  </si>
  <si>
    <t>50% max 10000</t>
  </si>
  <si>
    <t>Knapsack Sprayer</t>
  </si>
  <si>
    <t>40% max 2000</t>
  </si>
  <si>
    <t>50% max 2500</t>
  </si>
  <si>
    <t>Rotary Mulcher</t>
  </si>
  <si>
    <t>75% max 110000</t>
  </si>
  <si>
    <t>80% max 120000</t>
  </si>
  <si>
    <t>SMS</t>
  </si>
  <si>
    <t>75% max 82000</t>
  </si>
  <si>
    <t>80% max 88000</t>
  </si>
  <si>
    <t>Straw Baler without rake</t>
  </si>
  <si>
    <t>75% max 225000</t>
  </si>
  <si>
    <t>80% max 250000</t>
  </si>
  <si>
    <t>Super Seeder tractor mounted (6ft)</t>
  </si>
  <si>
    <t>75% max 142000</t>
  </si>
  <si>
    <t>80% max 152000</t>
  </si>
  <si>
    <t>Super Seeder tractor mounted (7ft)</t>
  </si>
  <si>
    <t>75% max 150000</t>
  </si>
  <si>
    <t>80% max 160000</t>
  </si>
  <si>
    <t>Super Seeder tractor mounted (8ft)</t>
  </si>
  <si>
    <t>75% max 157000</t>
  </si>
  <si>
    <t>80% max 168000</t>
  </si>
  <si>
    <t>Rotary slasher</t>
  </si>
  <si>
    <t>75% max 37500</t>
  </si>
  <si>
    <t>80% max 40000</t>
  </si>
  <si>
    <t>zero tillage (&gt;9 tines)</t>
  </si>
  <si>
    <t>75% max 40000</t>
  </si>
  <si>
    <t>80% max 43000</t>
  </si>
  <si>
    <t>Tractor reaper</t>
  </si>
  <si>
    <t>40% max 20000</t>
  </si>
  <si>
    <t>50% max 25000</t>
  </si>
  <si>
    <t>Square Baler (rectangular baler, ≥20kg/bale)</t>
  </si>
  <si>
    <t>40% max 528000</t>
  </si>
  <si>
    <t>50% max 660000</t>
  </si>
  <si>
    <t>Hay Rake (≥6 arms)</t>
  </si>
  <si>
    <t>40% max 132000</t>
  </si>
  <si>
    <t>50% max 165000</t>
  </si>
  <si>
    <t>Self propelled reaper</t>
  </si>
  <si>
    <t>40% max 50000</t>
  </si>
  <si>
    <t>50% max 60000</t>
  </si>
  <si>
    <t>Power Reaper-cum-Binder (Self Propelled) – 3 wheel</t>
  </si>
  <si>
    <t>40% max 140000</t>
  </si>
  <si>
    <t>50% max 175000</t>
  </si>
  <si>
    <t>Reaper-cum-Binder (Self Propelled) – 4 wheel</t>
  </si>
  <si>
    <t>40% max 200000</t>
  </si>
  <si>
    <t>50% max 250000</t>
  </si>
  <si>
    <t>Reaper-cum-Binder (Tractor Operated)</t>
  </si>
  <si>
    <t>40% max 120000</t>
  </si>
  <si>
    <t>50% max 150000</t>
  </si>
  <si>
    <t>S. No</t>
  </si>
  <si>
    <t>Manual Seeder</t>
  </si>
  <si>
    <t>40% max 2400</t>
  </si>
  <si>
    <t>50% max 3000</t>
  </si>
  <si>
    <t>Multi Crop Planter</t>
  </si>
  <si>
    <t>40% max 32000</t>
  </si>
  <si>
    <t>50% max 40000</t>
  </si>
  <si>
    <t>Self propelled multipurpose toolwar</t>
  </si>
  <si>
    <t>40% max 72000</t>
  </si>
  <si>
    <t>50% max 90000</t>
  </si>
  <si>
    <t>rotary tiller (35 HP &amp; above)</t>
  </si>
  <si>
    <t>40% max 68000</t>
  </si>
  <si>
    <t>50% max 85000</t>
  </si>
  <si>
    <t>Tractor mounted disc plough</t>
  </si>
  <si>
    <t>40% max 16000</t>
  </si>
  <si>
    <t>50% max 20000</t>
  </si>
  <si>
    <t>Disc Harrow</t>
  </si>
  <si>
    <t>40% max 24000</t>
  </si>
  <si>
    <t>40% max 30000</t>
  </si>
  <si>
    <t>Cultivator</t>
  </si>
  <si>
    <t>40% max 6000</t>
  </si>
  <si>
    <t>50% max 7500</t>
  </si>
  <si>
    <t>Leveller (&gt;6ft)</t>
  </si>
  <si>
    <t>40% max 10000</t>
  </si>
  <si>
    <t>50% max 12500</t>
  </si>
  <si>
    <t>Laser Land Leveler</t>
  </si>
  <si>
    <t>40% max 116000</t>
  </si>
  <si>
    <t>50% max 145000</t>
  </si>
  <si>
    <t>Raised Bed Planter</t>
  </si>
  <si>
    <t>Ridger Trencher</t>
  </si>
  <si>
    <t>Rice wheat seeder</t>
  </si>
  <si>
    <t>40% max 4000</t>
  </si>
  <si>
    <t>50% max 5000</t>
  </si>
  <si>
    <t>Potato Planter (35 HP &amp; above)</t>
  </si>
  <si>
    <t>40% max 40000</t>
  </si>
  <si>
    <t>50% max 50000</t>
  </si>
  <si>
    <t>Rotavator (35 HP &amp; above – tractor operated)</t>
  </si>
  <si>
    <t>50% max 30000</t>
  </si>
  <si>
    <t>Self Propelled Paddy Transplanter</t>
  </si>
  <si>
    <t>Power Tiller (8 HP &amp; above)</t>
  </si>
  <si>
    <t>40% max 60000</t>
  </si>
  <si>
    <t>50% max 75000</t>
  </si>
  <si>
    <t>MB Plough (2–3 rows; 35 HP &amp; above)</t>
  </si>
  <si>
    <t>40% max 12000</t>
  </si>
  <si>
    <t>50% max 15000</t>
  </si>
  <si>
    <t>Raised Bed Planter (35 HP &amp; above – tractor operated)</t>
  </si>
  <si>
    <t>Solar Sprayer (Backpack type)</t>
  </si>
  <si>
    <t>40% max 7200</t>
  </si>
  <si>
    <t>50% max 9000</t>
  </si>
  <si>
    <t>Maize Thresher cum peeler (&gt;3HP)</t>
  </si>
  <si>
    <t>Tree Pruner</t>
  </si>
  <si>
    <t>40% max 1000</t>
  </si>
  <si>
    <t>50% max 1250</t>
  </si>
  <si>
    <t>Paddy Thresher (≤5 HP)</t>
  </si>
  <si>
    <t>Battery Operated Power Weeder</t>
  </si>
  <si>
    <t>40% max 14000</t>
  </si>
  <si>
    <t>50% max 17500</t>
  </si>
  <si>
    <t>Power Maize Sheller / Corn Sheller (Electric motor)</t>
  </si>
  <si>
    <t>Potato Digger (35 HP &amp; above – tractor operated)</t>
  </si>
  <si>
    <t>Electric Pump (300 m pipe)</t>
  </si>
  <si>
    <t>50% max 1500</t>
  </si>
  <si>
    <t>Electric Pump (100 m pipe)</t>
  </si>
  <si>
    <t>50% max 2000</t>
  </si>
  <si>
    <t>Manual Chain Rocker Sprayer</t>
  </si>
  <si>
    <t>Power Sprayer (Battery operated)</t>
  </si>
  <si>
    <t>40% max 1200</t>
  </si>
  <si>
    <t>Pumpset (Petrol up to 10 HP)</t>
  </si>
  <si>
    <t>Chaff Cutter (Manual – 2/3 wheel)</t>
  </si>
  <si>
    <t>Chaff Cutter (Electric 2–3 HP)</t>
  </si>
  <si>
    <t>40% max 3200</t>
  </si>
  <si>
    <t>50% max 4000</t>
  </si>
  <si>
    <t>Chaff Cutter (Electric 3–5 HP)</t>
  </si>
  <si>
    <t>Chaff Cutter (35 HP &amp; above – tractor operated)</t>
  </si>
  <si>
    <t>Power Maize thresher (dehusker cum sheller)</t>
  </si>
  <si>
    <t>Maize Thresher (20–35 HP – tractor operated)</t>
  </si>
  <si>
    <t>40% max 28000</t>
  </si>
  <si>
    <t>50% max 35000</t>
  </si>
  <si>
    <t>Power Weeder (2–5 HP)</t>
  </si>
  <si>
    <t>40% max 18000</t>
  </si>
  <si>
    <t>50% max 22500</t>
  </si>
  <si>
    <t>Power Weeder (5 HP &amp; above)</t>
  </si>
  <si>
    <t>40% max 22000</t>
  </si>
  <si>
    <t>50% max 27500</t>
  </si>
  <si>
    <t>Thresher (35 HP &amp; above – tractor operated)</t>
  </si>
  <si>
    <t>40% max 80000</t>
  </si>
  <si>
    <t>50% max 100000</t>
  </si>
  <si>
    <t>Multicrop Thresher (35 HP &amp; above – tractor operated)</t>
  </si>
  <si>
    <t>Paddy Thresher (35 HP &amp; above – tractor operated)</t>
  </si>
  <si>
    <t>Self Propelled Power Paddy Weeder</t>
  </si>
  <si>
    <t>50% max 37500</t>
  </si>
  <si>
    <t>Millet Processing Plant (≤700 kg/hr)</t>
  </si>
  <si>
    <t>40% max 560000</t>
  </si>
  <si>
    <t>50% max 700000</t>
  </si>
  <si>
    <t>Millet Mill (≤100 kg/hr)</t>
  </si>
  <si>
    <t>Millet Mill (≥100 kg/hr)</t>
  </si>
  <si>
    <t>Mini Rice Mill (1 HP &amp; above)</t>
  </si>
  <si>
    <t>40% max 128000</t>
  </si>
  <si>
    <t>50% max 160000</t>
  </si>
  <si>
    <t>Mini Rice Mill with Pulverizer/Filter</t>
  </si>
  <si>
    <t>40% max 64000</t>
  </si>
  <si>
    <t>50% max 80000</t>
  </si>
  <si>
    <t>Dal Mill (3 HP &amp; above)</t>
  </si>
  <si>
    <t>Food Processing Unit (Small)</t>
  </si>
  <si>
    <t>70% max 140000</t>
  </si>
  <si>
    <t>Mini Rice Mill (4 quintal/day capacity – tractor operated)</t>
  </si>
  <si>
    <t>Mini Oil Mill</t>
  </si>
  <si>
    <t>Mini Flour Mill</t>
  </si>
  <si>
    <t>Spice Mill (Electric – 3 HP &amp; above)</t>
  </si>
  <si>
    <t>Flour Mill (Electric – 3 HP &amp; above)</t>
  </si>
  <si>
    <t>40% max 9600</t>
  </si>
  <si>
    <t>50% max 12000</t>
  </si>
  <si>
    <t>Hand Operated Pouch Packing Machine</t>
  </si>
  <si>
    <t>50 Litre Mixer (Electric)</t>
  </si>
  <si>
    <t>120 Litre Mixer (Electric)</t>
  </si>
  <si>
    <t>Packing–cum–Pulverizer</t>
  </si>
  <si>
    <t>Mini Rice Mill (500 kg/hr – tractor operated)</t>
  </si>
  <si>
    <t>2x Fry Kadhai with Heater</t>
  </si>
  <si>
    <t>40% max 756</t>
  </si>
  <si>
    <t>50% max 945</t>
  </si>
  <si>
    <t>Garden Tool (Omega cut)</t>
  </si>
  <si>
    <t>40% max 324</t>
  </si>
  <si>
    <t>50% max 405</t>
  </si>
  <si>
    <t>Pruning Secateurs (225 mm)</t>
  </si>
  <si>
    <t>40% max 496</t>
  </si>
  <si>
    <t>50% max 620</t>
  </si>
  <si>
    <t>Pruning Secateurs (200 mm)</t>
  </si>
  <si>
    <t>40% max 212</t>
  </si>
  <si>
    <t>50% max 265</t>
  </si>
  <si>
    <t>Fruit Cutter (155 mm)</t>
  </si>
  <si>
    <t>40% max 86</t>
  </si>
  <si>
    <t>50% max 108</t>
  </si>
  <si>
    <t>Hedge Shear (12 inch)</t>
  </si>
  <si>
    <t>40% max 836</t>
  </si>
  <si>
    <t>50% max 1045</t>
  </si>
  <si>
    <t>Grass Shear (with steel handle)</t>
  </si>
  <si>
    <t>40% max 394</t>
  </si>
  <si>
    <t>50% max 493</t>
  </si>
  <si>
    <t>Grass Sword</t>
  </si>
  <si>
    <t>40% max 166</t>
  </si>
  <si>
    <t>50% max 208</t>
  </si>
  <si>
    <t>Garden Tool (with steel handle)</t>
  </si>
  <si>
    <t>40% max 236</t>
  </si>
  <si>
    <t>50% max 295</t>
  </si>
  <si>
    <t>Hand Operated Seed Drill (steel handle)</t>
  </si>
  <si>
    <t>40% max 806</t>
  </si>
  <si>
    <t>50% max 1008</t>
  </si>
  <si>
    <t>Wheel Cultivator (steel handle)</t>
  </si>
  <si>
    <t>40% max 314</t>
  </si>
  <si>
    <t>50% max 393</t>
  </si>
  <si>
    <t>Hedge Shear (steel handle)</t>
  </si>
  <si>
    <t>40% max 368</t>
  </si>
  <si>
    <t>50% max 460</t>
  </si>
  <si>
    <t>Stage No</t>
  </si>
  <si>
    <t>Stage</t>
  </si>
  <si>
    <t>Equipment Name</t>
  </si>
  <si>
    <t>Bihar</t>
  </si>
  <si>
    <t>Maharashtra</t>
  </si>
  <si>
    <t>Odisha</t>
  </si>
  <si>
    <t>Gujarat</t>
  </si>
  <si>
    <t>Karnataka</t>
  </si>
  <si>
    <t>Telangana</t>
  </si>
  <si>
    <t>West Bengal</t>
  </si>
  <si>
    <t>Number of states</t>
  </si>
  <si>
    <t>Soil Tillage</t>
  </si>
  <si>
    <t>Rotavator</t>
  </si>
  <si>
    <t>MB Plough</t>
  </si>
  <si>
    <t>Disc Plough</t>
  </si>
  <si>
    <t>Power Harrow</t>
  </si>
  <si>
    <t>Leveller</t>
  </si>
  <si>
    <t>Subsoiler</t>
  </si>
  <si>
    <t>Hydraulic Reversible Plough</t>
  </si>
  <si>
    <t>Power Tiller</t>
  </si>
  <si>
    <t>Digger</t>
  </si>
  <si>
    <t>Backhoe</t>
  </si>
  <si>
    <t>Seeding &amp; Planting</t>
  </si>
  <si>
    <t>Seed Drill</t>
  </si>
  <si>
    <t>Seed-cum-Fertilizer Drill</t>
  </si>
  <si>
    <t>Zero Till Drill</t>
  </si>
  <si>
    <t>Rice Wheat Seeder</t>
  </si>
  <si>
    <t>Potato Planter</t>
  </si>
  <si>
    <t>Pneumatic Planter</t>
  </si>
  <si>
    <t>Walk-behind Paddy Transplanter</t>
  </si>
  <si>
    <t>Ride-on Paddy Transplanter</t>
  </si>
  <si>
    <t>Crop Protection</t>
  </si>
  <si>
    <t>Tractor Boom Sprayer</t>
  </si>
  <si>
    <t>Air Assist Sprayer</t>
  </si>
  <si>
    <t>Electrostatic Sprayer</t>
  </si>
  <si>
    <t>Power Weeder</t>
  </si>
  <si>
    <t>Electric Pump</t>
  </si>
  <si>
    <t>Power Sprayer</t>
  </si>
  <si>
    <t>Solar Sprayer (Backpack)</t>
  </si>
  <si>
    <t>Drone</t>
  </si>
  <si>
    <t>Self-Propelled High Clearance Sprayer</t>
  </si>
  <si>
    <t>Harvesting</t>
  </si>
  <si>
    <t>Reaper</t>
  </si>
  <si>
    <t>Reaper-cum-Binder</t>
  </si>
  <si>
    <t>Tractor Reaper</t>
  </si>
  <si>
    <t>Combine Harvester</t>
  </si>
  <si>
    <t>Potato Digger</t>
  </si>
  <si>
    <t>Groundnut Harvester</t>
  </si>
  <si>
    <t xml:space="preserve">Sugarcane Harvester </t>
  </si>
  <si>
    <t>Post Harvest</t>
  </si>
  <si>
    <t>Mulcher</t>
  </si>
  <si>
    <t xml:space="preserve">Super Straw Management System </t>
  </si>
  <si>
    <t>Rotary Slasher</t>
  </si>
  <si>
    <t>Square Baler</t>
  </si>
  <si>
    <t>Hay Rake</t>
  </si>
  <si>
    <t>Chaff Cutter</t>
  </si>
  <si>
    <t>Round Baler</t>
  </si>
  <si>
    <t>Rectangular Baler</t>
  </si>
  <si>
    <t>Straw Reaper</t>
  </si>
  <si>
    <t>Straw Chopper</t>
  </si>
  <si>
    <t>Maize Thresher cum Peeler</t>
  </si>
  <si>
    <t>Power Maize Sheller</t>
  </si>
  <si>
    <t xml:space="preserve">Thresher </t>
  </si>
  <si>
    <t>Mobile / Cotton Shredder (Tractor operated)</t>
  </si>
  <si>
    <t>Equipment</t>
  </si>
  <si>
    <t>Subsidy – Others (General / SF / MF / Women)</t>
  </si>
  <si>
    <t>Subsidy – SC/ST</t>
  </si>
  <si>
    <t>Tractor (various HP categories listed)</t>
  </si>
  <si>
    <t>50% of L1 ceiling rate (40% SMAM + 10% State)</t>
  </si>
  <si>
    <t>90% of L1 ceiling rate (50% SMAM + 40% State)</t>
  </si>
  <si>
    <t>50% of L1 ceiling rate</t>
  </si>
  <si>
    <t>90% of L1 ceiling rate</t>
  </si>
  <si>
    <t>Rotavator (2 ft – 7 ft models listed)</t>
  </si>
  <si>
    <t>Puddler</t>
  </si>
  <si>
    <t>Blade Harrow</t>
  </si>
  <si>
    <t>Subsoiler / Straw Subsoiler</t>
  </si>
  <si>
    <t>Rice Transplanter</t>
  </si>
  <si>
    <t>Seed-cum-Fertilizer Drill (Tractor Operated)</t>
  </si>
  <si>
    <t>Name of Component</t>
  </si>
  <si>
    <t>Standards of assistance (For general category farmers other than Schedule caste/ tribe caste</t>
  </si>
  <si>
    <t>Standards of assistance</t>
  </si>
  <si>
    <t>Minimum Time Limit (in Years) for Reclaiming Benefits (schedule caste/ schedule tribe caste, small/marginal farmers and women</t>
  </si>
  <si>
    <t>Power Tiller (below 8 brake horse power)</t>
  </si>
  <si>
    <t>40% of the total cost or Rs. 50 thousand whichever is less.</t>
  </si>
  <si>
    <t>50% of the total cost or Rs. 65 thousand whichever is less.</t>
  </si>
  <si>
    <t>10 years</t>
  </si>
  <si>
    <t>Power Tiller (8 brake horse power and above)</t>
  </si>
  <si>
    <t>40% of the total cost or Rs. 70 thousand whichever is less.</t>
  </si>
  <si>
    <t>50% of the total cost or Rs. 85 thousand whichever is less.</t>
  </si>
  <si>
    <t>Self-Propelled Rice Trans planter (4 rows)</t>
  </si>
  <si>
    <t>40% of the total cost or Rs. 1.20 lakhs whichever is less.</t>
  </si>
  <si>
    <t>50% of the total cost or Rs. 1.50 lakh whichever is less.</t>
  </si>
  <si>
    <t>Self-Propelled Rice Trans planter (Over 4 and 8 rows)</t>
  </si>
  <si>
    <t>40% of the total cost or Rs. 4.00 lakhs whichever is less.</t>
  </si>
  <si>
    <t>50% of the total cost or Rs. 5.00 lakhs whichever is less.</t>
  </si>
  <si>
    <t>Self-Propelled Rice Trans planter (over 8 and 16 rows)</t>
  </si>
  <si>
    <t>40% of the total cost or Rs. 6.50 lakhs whichever is less.</t>
  </si>
  <si>
    <t>50% of the total cost or Rs. 8.00 lakhs whichever is less.</t>
  </si>
  <si>
    <t>Self-Propelled Reaper Cum Binder (3 Wheel)</t>
  </si>
  <si>
    <t>40% of the total cost or Rs. 1.40 lakh whichever is less.</t>
  </si>
  <si>
    <t>50% of the total cost or Rs. 1.75 lakhs whichever is less.</t>
  </si>
  <si>
    <t>Self-Propelled Reaper Cum Binder (4 Wheel)</t>
  </si>
  <si>
    <t>40% of the total cost or Rs. 2.00 lakhs whichever is less.</t>
  </si>
  <si>
    <t>50% of the total cost or Rs. 2.50 lakhs whichever is less.</t>
  </si>
  <si>
    <t>Power weeder (engine operated below 2 H.P.)</t>
  </si>
  <si>
    <t>40% of the total cost or Rs. 20 thousand whichever is less.</t>
  </si>
  <si>
    <t>50% of the total cost or Rs. 25 thousand whichever is less.</t>
  </si>
  <si>
    <t>Power weeder (engine operated from 2 to 5 H.P.)</t>
  </si>
  <si>
    <t>40% of the total cost or Rs. 30 thousand whichever is less.</t>
  </si>
  <si>
    <t>50% of the total cost or Rs. 35 thousand whichever is less.</t>
  </si>
  <si>
    <t>Power weeder (engine operated above 5 H.P.)</t>
  </si>
  <si>
    <t>50% of the total cost or Rs. 63 thousand whichever is less.</t>
  </si>
  <si>
    <t>Specialize in Self Propelled Machinery</t>
  </si>
  <si>
    <t>Crop Reaper</t>
  </si>
  <si>
    <t>40% of the total cost or Rs. 60 thousand whichever is less.</t>
  </si>
  <si>
    <t>50% of the total cost or Rs. 75 thousand whichever is less.</t>
  </si>
  <si>
    <t>Post Hole Digger / Auger</t>
  </si>
  <si>
    <t>Pneumatic / other planters</t>
  </si>
  <si>
    <t>50% of the total cost or Rs. 90 thousand whichever is less.</t>
  </si>
  <si>
    <t>Tractor / Power Tiller (Upto 20 BHP) drawn Farm Implements / Implements</t>
  </si>
  <si>
    <t>M.B. plough; disc plough; Cultivator; Harrow; Leveler Blade; cage wheel; furrow opener; Ridger; Weed Slasher</t>
  </si>
  <si>
    <t>40% of total cost or Rs. 16 thousand whichever is less.</t>
  </si>
  <si>
    <t>50% of the total cost or Rs. 20 thousand whichever is less.</t>
  </si>
  <si>
    <t>7 years</t>
  </si>
  <si>
    <t>Bund former; Crust Breaker; Roto puddler; Roto cultivator; Power Harrow</t>
  </si>
  <si>
    <t>40% of total cost or Rs. 32 thousand whichever is less.</t>
  </si>
  <si>
    <t>50% of the total cost or Rs. 40 thousand whichever is less.</t>
  </si>
  <si>
    <t>Chisel Plough</t>
  </si>
  <si>
    <t>40% of the total cost or Rs. 8 thousand whichever is less.</t>
  </si>
  <si>
    <t>50% of the total cost or Rs. 10 thousand whichever is less.</t>
  </si>
  <si>
    <t>Post hole digger; Potato planter; Potato digger; Groundnut digger; Strip till drill (5tines); Tractor drawn crop reaper/ reaper cum binder; Onion Harvester, Rice Straw Chopper; Raised Bed Planter; Sugarcane Cutter/Stripper Planter (5 tines); Multicrop planter (5 tines); Ridge Furrow Planter</t>
  </si>
  <si>
    <t>40% of the total cost or Rs. 24 thousand whichever is less.</t>
  </si>
  <si>
    <t>50% of the total cost or Rs. 30 thousand whichever is less.</t>
  </si>
  <si>
    <t>Pneumatic planter; Pneumatic Vegetable Transplanter; Pneumatic Vegetable Seeder; Plastic Mulch Laying Machine; Raised bed Planter with Inclined Plate Planter and Shaper Attachment (5-7 Tines)</t>
  </si>
  <si>
    <t>40% of the total cost or Rs. 40 thousand whichever is less.</t>
  </si>
  <si>
    <t>50% of the total cost or Rs. 50 thousand whichever is less.</t>
  </si>
  <si>
    <t>Seed Drill / Seed Cum Fertilizer Drill (5 tines); Aqua Ferti Seed Drill (5-7tines)</t>
  </si>
  <si>
    <t>40% of the total cost or Rs. 12 thousand whichever is less.</t>
  </si>
  <si>
    <t>50% of the total cost or Rs. 15 thousand whichever is less.</t>
  </si>
  <si>
    <t>40% of the total cost or Rs. 20 thousand whichever is less</t>
  </si>
  <si>
    <t>Sugarcane Trash Cutter; Straw reaper</t>
  </si>
  <si>
    <t>Groundnut pod striper; Thresher; Multi Crop Thresher; Paddy Thrasher; brush cutter; Winnowing fan; Maize Sheller; Mower; Mower Shredder (All Purpose/ All Crop)</t>
  </si>
  <si>
    <t>40% of the total cost or Rs. 25 thousand whichever is less.</t>
  </si>
  <si>
    <t>Chaff cutter (Operated by Engine/Electronic Motor below 3 HP, Power Tiller, Tractor 20 HP)</t>
  </si>
  <si>
    <t>40% of the total cost or Rs. 16 thousand whichever is less.</t>
  </si>
  <si>
    <t>Tractor (above 20 and up to 35 BHP) drawn farm implements / equipment</t>
  </si>
  <si>
    <t>M.B. plough; disc plough; Cultivator; Harrow; Leveler Blade; cage wheel; furrow opener; Ridger;</t>
  </si>
  <si>
    <t>Roto puddler; furrow opener; Bund former; Crust breaker; Roto cultivator; Power Harrow</t>
  </si>
  <si>
    <t>50% of the total cost or Rs. 60 thousand whichever is less.</t>
  </si>
  <si>
    <t>Rotavator up to 5 feet</t>
  </si>
  <si>
    <t>40% of the total cost or Rs. 28 thousand whichever is less.</t>
  </si>
  <si>
    <t>Reversible Hydraulic Plough (2 Bottom)</t>
  </si>
  <si>
    <t>40% of the total cost or Rs. 56 thousand whichever is less.</t>
  </si>
  <si>
    <t>50% of the total cost or Rs. 70 thousand whichever is less.</t>
  </si>
  <si>
    <t>40% of the total cost or Rs. 16 thousand. Whichever is the lesser of the two.</t>
  </si>
  <si>
    <t>Reversible Mechanical Plough (2 Bottom)</t>
  </si>
  <si>
    <t>40% of the total cost or Rs. 32 thousand whichever is less.</t>
  </si>
  <si>
    <t>Laser land Leveler</t>
  </si>
  <si>
    <t>40% of the total cost or Rs. 1.60 lakh whichever is less.</t>
  </si>
  <si>
    <t>50% of the total cost or Rs. 2.00 lakh whichever is less.</t>
  </si>
  <si>
    <t>Posthole digger; Potato planter; Potato digger; Groundnut digger; Tractor drawn crop reaper; Onion harvester, raised bed planter; sugarcane cutter/striper planter; Multi Crop Planter; Ridge Furrow Planter.</t>
  </si>
  <si>
    <t>Seed drill (7 tines); Zero-Till Multi Crop Planter (7 Tines); Seed Cum Fertilizer Drill (7 Tines)</t>
  </si>
  <si>
    <t>50% of the total cost or Rs. 18 thousand whichever is less.</t>
  </si>
  <si>
    <t>Pneumatic Planter; Pneumatic Vegetable Transplanter; Pneumatic Vegetable Seeder; Plastic Mulch Laying Machine; aqua ferti Seed Drill (9 tines); Raised Bed Planter with Inclined Plate Planter and Shaper Attachment</t>
  </si>
  <si>
    <t>Happy / Turbo Seeder (9 Tines)</t>
  </si>
  <si>
    <t>40% of the total cost or Rs. 58,200 whichever is less.</t>
  </si>
  <si>
    <t>50% of the total cost or Rs. 72,800 whichever is less.</t>
  </si>
  <si>
    <t>Power weeder</t>
  </si>
  <si>
    <t>Sugarcane trash cutter</t>
  </si>
  <si>
    <t>Rack; straw reaper</t>
  </si>
  <si>
    <t>Baler (round) (below 14 kg/bale); Feed block machine</t>
  </si>
  <si>
    <t>40% of the total cost or Rs. 1.20 lakh whichever is less.</t>
  </si>
  <si>
    <t>Straw Chopper / Shredder / Mulcher Mounted Type 5ft</t>
  </si>
  <si>
    <t>40% of the total cost or Rs. 53,800 whichever is less.</t>
  </si>
  <si>
    <t>50% of the total cost or Rs. 67,200 whichever is less.</t>
  </si>
  <si>
    <t>Groundnut pod striper; Thresher; Multi Crop thresher; Paddy Thrasher; brush cutter; Maize Sheller; Mower; Mower Shredder (All Purpose/ All Crop)</t>
  </si>
  <si>
    <t>Crop reaper Cum Binder (Tractor Driven)</t>
  </si>
  <si>
    <t>40% of the total cost or Rs. 1.00 lakh whichever is less.</t>
  </si>
  <si>
    <t>50% of the total cost or Rs. 1.25 lakh whichever is less.</t>
  </si>
  <si>
    <t>Chaff cutter (Operated by Engine/Electric Motor 3 to 5 HP, Power Tiller, Tractor less than 35 BHP)</t>
  </si>
  <si>
    <t>40% of the total cost or Rs. 22 thousand whichever is less.</t>
  </si>
  <si>
    <t>50% of the total cost or Rs. 28 thousand whichever is less.</t>
  </si>
  <si>
    <t>Tractor (above 35 BHP) drawn farm implements/equipment</t>
  </si>
  <si>
    <t>M.B. plough; disc plough; Cultivator; Harrow; Leveler Blade; cage wheel; furrow opener; Ridger</t>
  </si>
  <si>
    <t>Rotavator 5 ft.</t>
  </si>
  <si>
    <t>40% of the total cost or Rs. 34 thousand whichever is less.</t>
  </si>
  <si>
    <t>50% of the total cost or Rs. 42 thousand whichever is less.</t>
  </si>
  <si>
    <t>Rotavator 6 ft.</t>
  </si>
  <si>
    <t>40% of the total cost or Rs. 35,800/- whichever is less.</t>
  </si>
  <si>
    <t>50% of the total cost or Rs. 44,800/- whichever is less.</t>
  </si>
  <si>
    <t>Rotavator 7 ft.</t>
  </si>
  <si>
    <t>40% of the total cost or Rs. 38,100/- whichever is less.</t>
  </si>
  <si>
    <t>50% of the total cost or Rs. 47,600 whichever is less.</t>
  </si>
  <si>
    <t>Rotavator 8 ft.</t>
  </si>
  <si>
    <t>40% of the total cost or Rs. 40,300/- whichever is less.</t>
  </si>
  <si>
    <t>50% of the total cost or Rs. 50,400/- whichever is less.</t>
  </si>
  <si>
    <t>Roto-puddler</t>
  </si>
  <si>
    <t>40% of the total cost or Rs. 80 thousand whichever is less.</t>
  </si>
  <si>
    <t>50% of the total cost or Rs. 1.00 lakh whichever is less.</t>
  </si>
  <si>
    <t>Reversible Hydraulic Plough (3 Bottom)</t>
  </si>
  <si>
    <t>40% of the total cost or Rs. 71,600/- whichever is less.</t>
  </si>
  <si>
    <t>50% of the total cost or Rs. 89,500/- whichever is less.</t>
  </si>
  <si>
    <t>Reversible Mechanical Plough (3 Bottom)</t>
  </si>
  <si>
    <t>Sub-soiler</t>
  </si>
  <si>
    <t>40% of the total cost or Rs. 45 thousand whichever is less.</t>
  </si>
  <si>
    <t>50% of the total cost or Rs. 55 thousand whichever is less.</t>
  </si>
  <si>
    <t>Trench makers (PTO operated); Bund Former (PTO Operated)</t>
  </si>
  <si>
    <t>Furrow opener</t>
  </si>
  <si>
    <t>Bund former</t>
  </si>
  <si>
    <t>Roto-cultivator</t>
  </si>
  <si>
    <t>Power Harrow (PTO Operated)</t>
  </si>
  <si>
    <t>Raised bed planter</t>
  </si>
  <si>
    <t>Seed Drill / Zero Till Seed Drill (9 tines and above)</t>
  </si>
  <si>
    <t>Small/marginal of general caste; Total cost to women farmers 50% or Rs. 20 thousand whichever is less.</t>
  </si>
  <si>
    <t>40% of the total cost or Rs. 35 thousand whichever is less.</t>
  </si>
  <si>
    <t>Tractor drawn crop reaper</t>
  </si>
  <si>
    <t>Onion harvester</t>
  </si>
  <si>
    <t>40% of the total cost or Rs. 65 thousand whichever is less.</t>
  </si>
  <si>
    <t>50% of the total cost or Rs. 80 thousand whichever is less.</t>
  </si>
  <si>
    <t>Seed cum Fertilizer Drill / Zero Till Seed Cum Fertilizer Drill (9 Tines)</t>
  </si>
  <si>
    <t>40% of the total cost or Rs. 17 thousand whichever is less.</t>
  </si>
  <si>
    <t>50% of the total cost or Rs. 21,300/- whichever is less.</t>
  </si>
  <si>
    <t>Seed cum Fertilizer Drill / Zero Till Seed Cum Fertilizer Drill (11 Tines)</t>
  </si>
  <si>
    <t>40% of the total cost or Rs. 19,300/- whichever is less.</t>
  </si>
  <si>
    <t>50% of the total cost or Rs. 24,100/- whichever is less.</t>
  </si>
  <si>
    <t>Seed cum Fertilizer Drill / Zero Till Seed Cum Fertilizer Drill (13 Tines)</t>
  </si>
  <si>
    <t>40% of the total cost or Rs. 21,500/- whichever is less.</t>
  </si>
  <si>
    <t>50% of the total cost or Rs. 26,900/- whichever is less.</t>
  </si>
  <si>
    <t>Seedcum Fertilizer Drill / Zero Till Seed Cum Fertilizer Drill (15 Tines)</t>
  </si>
  <si>
    <t>40% of the total cost or Rs. 22,400/- whichever is less.</t>
  </si>
  <si>
    <t>Post hole digger; Potato Planter (Automatic); Groundnut digger; Sugarcanecutter/ stripper/planter; Multi Crop Planter (9 or more tines); Zero-till multi crop planter (9 or more tines); Ridge Furrow Planter</t>
  </si>
  <si>
    <t>40% of the total cost or Rs. 58,200/- whichever is less.</t>
  </si>
  <si>
    <t>50% of the total cost or Rs. 72,800/- thousand whichever is less.</t>
  </si>
  <si>
    <t>Happy / Turbo Seeder (10 Tines)</t>
  </si>
  <si>
    <t>40% of the total cost or Rs. 60,500/- whichever is less.</t>
  </si>
  <si>
    <t>50% of the total cost or Rs. 75,600 /-whichever is less.</t>
  </si>
  <si>
    <t>Happy / Turbo Seeder (11 Tines)</t>
  </si>
  <si>
    <t>40% of the total cost or Rs. 62,700/- whichever is less.</t>
  </si>
  <si>
    <t>50% of the total cost or Rs. 78,400/- whichever is less.</t>
  </si>
  <si>
    <t>Pneumatic planter; Pneumatic Vegetable Transplanter; Pneumatic vegetable seeder</t>
  </si>
  <si>
    <t>40% of the total cost or Rs. 1.80 lakh whichever is less.</t>
  </si>
  <si>
    <t>50% of the total cost or Rs. 2.25 lakhs whichever is less.</t>
  </si>
  <si>
    <t>Manure Spreader; Fertilizer Spreader – P.T.O. operated; Plastic Mulch Laying Machine</t>
  </si>
  <si>
    <t>Automatic rice Nursery Sowing Machinery</t>
  </si>
  <si>
    <t>7 Years</t>
  </si>
  <si>
    <t>Aqua-ferti Seed Drill (9 or more tines)</t>
  </si>
  <si>
    <t>Raised Bed Planter with Inclined Plate Planter and Shaper Attachment</t>
  </si>
  <si>
    <t>Weeder (PTO operated)</t>
  </si>
  <si>
    <t>Groundnut pod striper; Thresher / Multi Crop Thresher upto 4 Ton/Hour Capacity; Paddy thresher; Chaff Cutter; Maize Sheller</t>
  </si>
  <si>
    <t>50% of the total cost or Rs. 1.00 lakhs whichever is less.</t>
  </si>
  <si>
    <t>Crop reaper Cum Binder (Tractor Drawn)</t>
  </si>
  <si>
    <t>50% of the total cost or Rs. 1.50 lakhs whichever is less.</t>
  </si>
  <si>
    <t>Combine harvester (self propelled, up to 14 ft cutter bar)</t>
  </si>
  <si>
    <t>40% of the total cost or Rs. 6.40 lakhs whichever is less.</t>
  </si>
  <si>
    <t>Combine harvester (tractor operated, up to 10 feet cutter bar)</t>
  </si>
  <si>
    <t>40% of the total cost or Rs. 2.40 lakhs whichever is less.</t>
  </si>
  <si>
    <t>50% of the total cost or Rs. 3.00 lakhs whichever is less.</t>
  </si>
  <si>
    <t>Combine harvester (track, 6-8 feet cutter bar)</t>
  </si>
  <si>
    <t>40% of the total cost or Rs. 8.80 lakhs whichever is less.</t>
  </si>
  <si>
    <t>50% of the total cost or Rs. 11.00 lakhs whichever is less.</t>
  </si>
  <si>
    <t>Combine harvester (track, below 6 feet cutter bar)</t>
  </si>
  <si>
    <t>40% of the total cost or Rs. 5.60 lakhs whichever is less.</t>
  </si>
  <si>
    <t>50% of the total cost or Rs. 7.00 lakhs whichever is less.</t>
  </si>
  <si>
    <t>Thresher / Multi Crop Thresher Capacity above 4 Ton/hr</t>
  </si>
  <si>
    <t>Mower Shredder (All Purpose/ All Crop</t>
  </si>
  <si>
    <t>Sugarcane trash Cutter</t>
  </si>
  <si>
    <t>50% of the total cost or Rs. 1.25 lakhs whichever is less.</t>
  </si>
  <si>
    <t>Hay Rack</t>
  </si>
  <si>
    <t>Baler (round) (14-16 kg/bale)</t>
  </si>
  <si>
    <t>50% of the total cost or Rs. 2.00 lakhs whichever is less.</t>
  </si>
  <si>
    <t>Baler (round) (above 16-25 kg/bale)</t>
  </si>
  <si>
    <t>40% of the total cost or Rs. 4.40 lakhs whichever is less.</t>
  </si>
  <si>
    <t>50% of the total cost or Rs. 5.50 lakhs whichever is less.</t>
  </si>
  <si>
    <t>Baler (round) (180-200 kg/bale)</t>
  </si>
  <si>
    <t>40% of the total cost or Rs. 7.20 lakhs whichever is less.</t>
  </si>
  <si>
    <t>50% of the total cost or Rs. 9.00 lakhs whichever is less.</t>
  </si>
  <si>
    <t>Baler (rectangular, 18-20 kg/bale)</t>
  </si>
  <si>
    <t>40% of the total cost or Rs. 4.80 lakhs whichever is less.</t>
  </si>
  <si>
    <t>50% of the total cost or Rs. 6.00 lakhs whichever is less.</t>
  </si>
  <si>
    <t>Sugarcane Ratoon Manager</t>
  </si>
  <si>
    <t>Cottonstalk uprooter</t>
  </si>
  <si>
    <t>The straw reaper</t>
  </si>
  <si>
    <t>40% of the total cost or Rs. 1.04 lakh whichever is less.</t>
  </si>
  <si>
    <t>50% of the total cost or Rs. 1.30 lakhs whichever is less.</t>
  </si>
  <si>
    <t>The stubble shaver</t>
  </si>
  <si>
    <t>40% of the total cost or Rs. 64 thousand whichever is less.</t>
  </si>
  <si>
    <t>Straw Chopper/ Shredder/ Mulcher Mounted Type 5 Ft</t>
  </si>
  <si>
    <t>40% of the total cost or Rs. 53,800/- whichever is less.</t>
  </si>
  <si>
    <t>50% of the total cost or Rs. 67,200/- whichever is less.</t>
  </si>
  <si>
    <t>Straw Chopper/ Shredder/ Mulcher Mounted Type 6 Ft</t>
  </si>
  <si>
    <t>50% of the total cost or Rs. 72,800/- whichever is less.</t>
  </si>
  <si>
    <t>Straw Chopper/ Shredder/ Mulcher Mounted Type 7 Ft</t>
  </si>
  <si>
    <t>Straw Chopper/ Shredder/ Mulcher Mounted Type 8 Ft</t>
  </si>
  <si>
    <t>40% of the total cost or Rs. 67,200/- whichever is less.</t>
  </si>
  <si>
    <t>50% of the total cost or Rs. 84 thousand whichever is less.</t>
  </si>
  <si>
    <t>Straw Chopper/ Shredder/ Mulcher Trailed Type</t>
  </si>
  <si>
    <t>40% of the total cost or Rs. 1.01 lakh whichever is less.</t>
  </si>
  <si>
    <t>50% of the total cost or Rs. 1.26 lakhs whichever is less.</t>
  </si>
  <si>
    <t>Straw chopper/ shredder/ mulcher combo type</t>
  </si>
  <si>
    <t>40% of the total cost or Rs. 1.12 lakhs whichever is less.</t>
  </si>
  <si>
    <t>50% of the total cost or Rs. 1.40 lakhs whichever is less.</t>
  </si>
  <si>
    <t>Super Straw Management System (Attached with Combine Harvester)</t>
  </si>
  <si>
    <t>50% of the total cost or Rs. 56 thousand whichever is less.</t>
  </si>
  <si>
    <t>Crop protection equipment</t>
  </si>
  <si>
    <t>Power Operated Knapsack Pump / Power Operated Sprayer (8 to 12 Liter Capacity) ( Engine below 0.75 HP)</t>
  </si>
  <si>
    <t>40% of the total cost or Rs.2500/- whichever is less.</t>
  </si>
  <si>
    <t>50% of the total cost or Rs. 3100/- whichever is less.</t>
  </si>
  <si>
    <t>5 years</t>
  </si>
  <si>
    <t>Power Operated Knapsack Pump / Power Operated Sprayer (above 12 and 16 liter capacity) (0.75 to 1.00 HP Engine)</t>
  </si>
  <si>
    <t>40% of the total cost or Rs.3000/- whichever is less.</t>
  </si>
  <si>
    <t>50% of the total cost or Rs. 3800/- whichever is less.</t>
  </si>
  <si>
    <t>Power Operated Knapsack Pump / Power Operated Sprayer (More than 16 Liters Capacity) (Engines above 1.00HP)</t>
  </si>
  <si>
    <t>Power Driven Knapsack Mist Blower Sprayer Cum Duster (Engines above 1.00HP)</t>
  </si>
  <si>
    <t>Tractor Operated Sprayer (Air Carrier / Assisted)</t>
  </si>
  <si>
    <t>40% of the total cost or Rs.1.00 lakh whichever is less.</t>
  </si>
  <si>
    <t>Tractor operated sprayer (boom type)</t>
  </si>
  <si>
    <t>50% of the total cost or Rs. 37 thousand whichever is less.</t>
  </si>
  <si>
    <t>Tractor operated electrostatic sprayer</t>
  </si>
  <si>
    <t>Manually drawn equipment</t>
  </si>
  <si>
    <t>Wheel Hoe (an implement of tillage)</t>
  </si>
  <si>
    <t>40% of the total cost or Rs.1000 whichever is less.</t>
  </si>
  <si>
    <t>50% of the total cost or Rs. 1200/- whichever is less.</t>
  </si>
  <si>
    <t>scythe (cutting tool)</t>
  </si>
  <si>
    <t>40% of the total cost or Rs.8000 whichever is less.</t>
  </si>
  <si>
    <t>50% of the total cost or Rs. 10,000/- whichever is less.</t>
  </si>
  <si>
    <t>Animal drawn equipment</t>
  </si>
  <si>
    <t>Animal drawn Multi tool bar (Minimum for attachments) Multi Purpose Santi (Implement) with Sower</t>
  </si>
  <si>
    <t>Sr. No.</t>
  </si>
  <si>
    <t>Name of Machine</t>
  </si>
  <si>
    <t>For SC/Small and Marginal Farmers/Women beneficiaries</t>
  </si>
  <si>
    <t>For other beneficiaries</t>
  </si>
  <si>
    <t>https://agriharyana.gov.in/MechSMAMScheme.aspx</t>
  </si>
  <si>
    <t>50% of the cost or maximum permissible value given below (in Rs) which ever is less.</t>
  </si>
  <si>
    <t>40% of the cost or maximum permissible value given below (in Rs) which ever is less.</t>
  </si>
  <si>
    <t>Battery/Electric/Solar operated Power Weeder</t>
  </si>
  <si>
    <t>Below 2 BHP</t>
  </si>
  <si>
    <t>2 BHP to 5 BHP</t>
  </si>
  <si>
    <t>5 BHP to 7.5 BHP</t>
  </si>
  <si>
    <t>Above 7.5 BHP</t>
  </si>
  <si>
    <t>Ride on Self propelled Multi tool bar</t>
  </si>
  <si>
    <t>Self propelled High Clearance Boom Sprayer</t>
  </si>
  <si>
    <t>18 nozzle</t>
  </si>
  <si>
    <t>24 nozzle</t>
  </si>
  <si>
    <t>High capacity Chaffcutter with loader</t>
  </si>
  <si>
    <t>5 tonne to 10 tonne /hr</t>
  </si>
  <si>
    <t>Above 10 tonne /hr</t>
  </si>
  <si>
    <t>Chaff Cutter (motor operated)</t>
  </si>
  <si>
    <t>Tractor operated Silage packing machine/Tractor operated silage Baler(1400-1500 kg/hr)</t>
  </si>
  <si>
    <t>Battery Operated Fertilizer Broadcaster</t>
  </si>
  <si>
    <t>Tractor operated Fertilizer Broadcaster</t>
  </si>
  <si>
    <t>Tractor operated Hydraulic press straw baler</t>
  </si>
  <si>
    <t>Sub Soiler</t>
  </si>
  <si>
    <t>1 tyne</t>
  </si>
  <si>
    <t>2 tyne &amp; above</t>
  </si>
  <si>
    <t>Multi crop bed planter / Raised bed planter</t>
  </si>
  <si>
    <t>2 row</t>
  </si>
  <si>
    <t>3 row &amp; above</t>
  </si>
  <si>
    <t>Self propelled Rice transplanter (4 row)</t>
  </si>
  <si>
    <t>Walk behind (4 row)</t>
  </si>
  <si>
    <t>Winnowing Fan</t>
  </si>
  <si>
    <t>Millet Machine / Millet Mill</t>
  </si>
  <si>
    <t>Maize Thresher / Maize Sheller(Tractor Operated)</t>
  </si>
  <si>
    <t>Pneumatic Planter Machine (Tractor operated 4 row)</t>
  </si>
  <si>
    <t>Oil Expeller</t>
  </si>
  <si>
    <t>Motorised screw press type 50 Kg/hr capacity</t>
  </si>
  <si>
    <t>Motorised screw press type100 Kg/hr capacity</t>
  </si>
  <si>
    <t>Sugarcane Thresh cutter (75 inch)</t>
  </si>
  <si>
    <t>Cow dung Briquetting machine</t>
  </si>
  <si>
    <t>Cow dung Dewatering machine</t>
  </si>
  <si>
    <t>Paddy Mobile Drier</t>
  </si>
  <si>
    <t>6 ft</t>
  </si>
  <si>
    <t>7 ft</t>
  </si>
  <si>
    <t>8 ft &amp; above</t>
  </si>
  <si>
    <t>Tractor mounted Power Weeder</t>
  </si>
  <si>
    <t>SMAM WRITE UP.pdf</t>
  </si>
  <si>
    <t>https://www.researchgate.net/figure/Sale-of-agricultural-implements-and-machines-in-Odisha-from-2006-07-to-2015-16_tbl4_383786154</t>
  </si>
  <si>
    <t>SC/ST/Women</t>
  </si>
  <si>
    <t>Others</t>
  </si>
  <si>
    <t>Power Tillers</t>
  </si>
  <si>
    <t>multi-crop threshers</t>
  </si>
  <si>
    <t>Rotavators</t>
  </si>
  <si>
    <t>shredders</t>
  </si>
  <si>
    <t xml:space="preserve"> balers</t>
  </si>
  <si>
    <t xml:space="preserve"> self-propelled toolbars</t>
  </si>
  <si>
    <t>electric power weeders</t>
  </si>
  <si>
    <t>walk-behind transplanters</t>
  </si>
  <si>
    <t>solar-operated paddy threshers</t>
  </si>
  <si>
    <t>Consolidated_permissible_subsidy.pdf</t>
  </si>
  <si>
    <t>50% for SC/ST, Small &amp; Marginal farmers, Women</t>
  </si>
  <si>
    <t>40% for Other beneficiaries</t>
  </si>
  <si>
    <t>For Post-Harvest Processing Machinery (value addition), subsidy is 60% (SC/ST etc.) / 50% (Others)</t>
  </si>
  <si>
    <r>
      <t xml:space="preserve">Strong push for </t>
    </r>
    <r>
      <rPr>
        <b/>
        <sz val="11"/>
        <color theme="1"/>
        <rFont val="Aptos Narrow"/>
        <family val="2"/>
        <scheme val="minor"/>
      </rPr>
      <t>residue management machinery</t>
    </r>
  </si>
  <si>
    <t>High caps for:</t>
  </si>
  <si>
    <t>Sugarcane Harvester (₹50 lakh)</t>
  </si>
  <si>
    <t>Track Combine (₹11 lakh)</t>
  </si>
  <si>
    <t>Round Baler (₹9 lakh)</t>
  </si>
  <si>
    <r>
      <t xml:space="preserve">Post-harvest processing gets </t>
    </r>
    <r>
      <rPr>
        <b/>
        <sz val="11"/>
        <color theme="1"/>
        <rFont val="Aptos Narrow"/>
        <family val="2"/>
        <scheme val="minor"/>
      </rPr>
      <t>higher subsidy rate (60%)</t>
    </r>
  </si>
  <si>
    <t>Segment</t>
  </si>
  <si>
    <t>SC/ST etc.</t>
  </si>
  <si>
    <t>Harvester</t>
  </si>
  <si>
    <t>Combine Harvester (Self-propelled)</t>
  </si>
  <si>
    <t>8.00 lakh</t>
  </si>
  <si>
    <t>6.40 lakh</t>
  </si>
  <si>
    <t>Combine Harvester (Tractor powered)</t>
  </si>
  <si>
    <t>3.00 lakh</t>
  </si>
  <si>
    <t>2.40 lakh</t>
  </si>
  <si>
    <t>Combine (Tractor powered with chopper)</t>
  </si>
  <si>
    <t>3.50 lakh</t>
  </si>
  <si>
    <t>2.80 lakh</t>
  </si>
  <si>
    <t>Combine (Tractor powered – Chopper/Collector)</t>
  </si>
  <si>
    <t>7.75 lakh</t>
  </si>
  <si>
    <t>6.20 lakh</t>
  </si>
  <si>
    <t>Combine (Tractor – Cutter Bar)</t>
  </si>
  <si>
    <t>7.00 lakh</t>
  </si>
  <si>
    <t>5.60 lakh</t>
  </si>
  <si>
    <t>Combine (Track type)</t>
  </si>
  <si>
    <t>11.00 lakh</t>
  </si>
  <si>
    <t>8.80 lakh</t>
  </si>
  <si>
    <t>Combine (Tractor operated – four wheel)</t>
  </si>
  <si>
    <t>10.00 lakh</t>
  </si>
  <si>
    <t>Sugarcane Harvester (Self-propelled)</t>
  </si>
  <si>
    <t>50.00 lakh</t>
  </si>
  <si>
    <t>40.00 lakh</t>
  </si>
  <si>
    <t>Maize Combine (Self-propelled)</t>
  </si>
  <si>
    <t>Maize Combine (Medium)</t>
  </si>
  <si>
    <t>5.00 lakh</t>
  </si>
  <si>
    <t>4.00 lakh</t>
  </si>
  <si>
    <t>Seeding and Planting</t>
  </si>
  <si>
    <t>Self-propelled walk-behind</t>
  </si>
  <si>
    <t>1.50 lakh</t>
  </si>
  <si>
    <t>1.20 lakh</t>
  </si>
  <si>
    <t>Self-propelled riding (4 rows &amp; above)</t>
  </si>
  <si>
    <t>Self-propelled riding (8 rows &amp; above)</t>
  </si>
  <si>
    <t>6.50 lakh</t>
  </si>
  <si>
    <t>Crop Management</t>
  </si>
  <si>
    <t>1.75 lakh</t>
  </si>
  <si>
    <t>1.40 lakh</t>
  </si>
  <si>
    <t>Power Reaper-cum-Binder</t>
  </si>
  <si>
    <t>2.50 lakh</t>
  </si>
  <si>
    <t>2.00 lakh</t>
  </si>
  <si>
    <t>0.35 lakh</t>
  </si>
  <si>
    <t>0.30 lakh</t>
  </si>
  <si>
    <t>Self-propelled Solar DC pump</t>
  </si>
  <si>
    <t>1.12 lakh</t>
  </si>
  <si>
    <t>Rice Transplanter (self-propelled)</t>
  </si>
  <si>
    <t>3.20 lakh</t>
  </si>
  <si>
    <t>Electric Tiller/Weeder</t>
  </si>
  <si>
    <t>0.63 lakh</t>
  </si>
  <si>
    <t>0.50 lakh</t>
  </si>
  <si>
    <t>0.30–0.50 lakh</t>
  </si>
  <si>
    <t>0.25–0.40 lakh</t>
  </si>
  <si>
    <t>0.20–0.50 lakh</t>
  </si>
  <si>
    <t>0.16–0.40 lakh</t>
  </si>
  <si>
    <t>Laser Land Leveller</t>
  </si>
  <si>
    <t>1.60 lakh</t>
  </si>
  <si>
    <t>0.40–0.63 lakh</t>
  </si>
  <si>
    <t>0.32–0.50 lakh</t>
  </si>
  <si>
    <t>0.713–0.928 lakh</t>
  </si>
  <si>
    <t>0.57–0.742 lakh</t>
  </si>
  <si>
    <t>Backhoe (tractor operated)</t>
  </si>
  <si>
    <t>1.35 lakh</t>
  </si>
  <si>
    <t>1.08 lakh</t>
  </si>
  <si>
    <t>0.35–0.90 lakh</t>
  </si>
  <si>
    <t>0.30–0.70 lakh</t>
  </si>
  <si>
    <t>0.20 lakh</t>
  </si>
  <si>
    <t>0.16 lakh</t>
  </si>
  <si>
    <t>0.18–0.225 lakh</t>
  </si>
  <si>
    <t>0.16–0.18 lakh</t>
  </si>
  <si>
    <t>0.50–2.25 lakh</t>
  </si>
  <si>
    <t>0.40–1.80 lakh</t>
  </si>
  <si>
    <t>Precision Multi-Crop Planter</t>
  </si>
  <si>
    <t>Happy Seeder / Super SMS</t>
  </si>
  <si>
    <t>~0.75 lakh</t>
  </si>
  <si>
    <t>~0.60 lakh</t>
  </si>
  <si>
    <t>Post harvest</t>
  </si>
  <si>
    <t>0.40–1.30 lakh</t>
  </si>
  <si>
    <t>0.30–1.04 lakh</t>
  </si>
  <si>
    <t>Rotavator Straw Mgmt</t>
  </si>
  <si>
    <t>0.74 lakh</t>
  </si>
  <si>
    <t>0.59 lakh</t>
  </si>
  <si>
    <t>9.00 lakh</t>
  </si>
  <si>
    <t>7.20 lakh</t>
  </si>
  <si>
    <t>7.50 lakh</t>
  </si>
  <si>
    <t>6.00 lakh</t>
  </si>
  <si>
    <t>Rotary Straw Baler</t>
  </si>
  <si>
    <t>Straw Chopper/Shredder</t>
  </si>
  <si>
    <t>0.80 lakh</t>
  </si>
  <si>
    <t>0.64 lakh</t>
  </si>
  <si>
    <t>Mini Dal Mill</t>
  </si>
  <si>
    <t>1.80 lakh</t>
  </si>
  <si>
    <t>60% (SC/ST etc.)</t>
  </si>
  <si>
    <t>Rice Mill</t>
  </si>
  <si>
    <t>4.80 lakh</t>
  </si>
  <si>
    <t>Packaging Machine</t>
  </si>
  <si>
    <t>50% (Others)</t>
  </si>
  <si>
    <t>Grain Cleaner</t>
  </si>
  <si>
    <t>1.00 lakh</t>
  </si>
  <si>
    <t>crop protection</t>
  </si>
  <si>
    <t>0.031–0.10 lakh</t>
  </si>
  <si>
    <t>0.025–0.08 lakh</t>
  </si>
  <si>
    <t>0.37 lakh</t>
  </si>
  <si>
    <t>Self-propelled High Clearance Sprayer</t>
  </si>
  <si>
    <t>1.25 lakh</t>
  </si>
  <si>
    <t>Benefit_SubmissionOnFarmMechanization.pdf</t>
  </si>
  <si>
    <t>State</t>
  </si>
  <si>
    <t>Category</t>
  </si>
  <si>
    <t>Max Subsidy Cap (SC/ST etc.)</t>
  </si>
  <si>
    <t>Max Subsidy Cap (Others)</t>
  </si>
  <si>
    <t>% Pattern</t>
  </si>
  <si>
    <t>Land Prep</t>
  </si>
  <si>
    <t>₹42,000 – ₹50,400</t>
  </si>
  <si>
    <t>₹34,000 – ₹40,300</t>
  </si>
  <si>
    <t>50% / 40%</t>
  </si>
  <si>
    <t>Hydraulic Reversible Plough (2 bottom)</t>
  </si>
  <si>
    <t>Post Hole Digger</t>
  </si>
  <si>
    <t>Planting &amp; Sowing</t>
  </si>
  <si>
    <t>₹21,300 – ₹28,000</t>
  </si>
  <si>
    <t>₹17,000 – ₹22,400</t>
  </si>
  <si>
    <t>₹35,000 – ₹75,000</t>
  </si>
  <si>
    <t>₹30,000 – ₹60,000</t>
  </si>
  <si>
    <t>Rice Transplanter (4–8 row)</t>
  </si>
  <si>
    <t>Rice Transplanter (8–16 row)</t>
  </si>
  <si>
    <t>Automatic Nursery Seeder</t>
  </si>
  <si>
    <t>Reaper Binder (4 wheel)</t>
  </si>
  <si>
    <t>Combine Harvester (Tractor-operated)</t>
  </si>
  <si>
    <t>Potato Harvester</t>
  </si>
  <si>
    <t>₹40,000 – ₹80,000</t>
  </si>
  <si>
    <t>₹30,000 – ₹65,000</t>
  </si>
  <si>
    <t>Residue / Baling</t>
  </si>
  <si>
    <t>Round Baler (small capacity)</t>
  </si>
  <si>
    <t>Round Baler (180–200 kg)</t>
  </si>
  <si>
    <t>₹67,200 – ₹84,000</t>
  </si>
  <si>
    <t>₹53,800 – ₹67,200</t>
  </si>
  <si>
    <t>Super Straw Management System (SMS)</t>
  </si>
  <si>
    <t>Post-Harvest</t>
  </si>
  <si>
    <t>Thresher (≤4 TPH)</t>
  </si>
  <si>
    <t>Thresher (&gt;4 TPH)</t>
  </si>
  <si>
    <t>Corn Sheller</t>
  </si>
  <si>
    <t>₹28,000 – ₹1,00,000</t>
  </si>
  <si>
    <t>₹22,000 – ₹80,000</t>
  </si>
  <si>
    <t>West bengal</t>
  </si>
  <si>
    <t>H</t>
  </si>
  <si>
    <t>m</t>
  </si>
  <si>
    <t>Laser Leveler</t>
  </si>
  <si>
    <t>M</t>
  </si>
  <si>
    <t>Mobile Shredder</t>
  </si>
  <si>
    <t>Latest subsidy document / applicable year</t>
  </si>
  <si>
    <t>Direct document / subsidy page link</t>
  </si>
  <si>
    <t>S.no</t>
  </si>
  <si>
    <t>Andhra Pradesh</t>
  </si>
  <si>
    <t>Arunachal Pradesh</t>
  </si>
  <si>
    <t>Assam</t>
  </si>
  <si>
    <t>2025-26</t>
  </si>
  <si>
    <t>Chhattisgarh</t>
  </si>
  <si>
    <t>Goa</t>
  </si>
  <si>
    <t>2025-26 (published 29 Jan 2026)</t>
  </si>
  <si>
    <t>Himachal Pradesh</t>
  </si>
  <si>
    <t>2025 (uploaded 2026)</t>
  </si>
  <si>
    <t>Jharkhand</t>
  </si>
  <si>
    <t>Kerala</t>
  </si>
  <si>
    <t>Madhya Pradesh</t>
  </si>
  <si>
    <t>Manipur</t>
  </si>
  <si>
    <t>Meghalaya</t>
  </si>
  <si>
    <t>Mizoram</t>
  </si>
  <si>
    <t>Nagaland</t>
  </si>
  <si>
    <t>Rajasthan</t>
  </si>
  <si>
    <t>Sikkim</t>
  </si>
  <si>
    <t>Tamil Nadu</t>
  </si>
  <si>
    <t>Tripura</t>
  </si>
  <si>
    <t>Uttar Pradesh</t>
  </si>
  <si>
    <t>Uttarakhand</t>
  </si>
  <si>
    <t>https://diragri.assam.gov.in/schemes/sub-mission-on-agricultural-mechanisation-smam</t>
  </si>
  <si>
    <t>Tractor subsidy</t>
  </si>
  <si>
    <t>SMAM Arunachal Pradesh: Tractor and Power Tiller Subsidy Guide | IIFL Finance</t>
  </si>
  <si>
    <t>Compendium-of-Government-Schemes-run-by-agriculture-and-allied-departments.pdf</t>
  </si>
  <si>
    <t>Eligible tractors and implements</t>
  </si>
  <si>
    <t>Annual or whenever the state revises the approved machinery list</t>
  </si>
  <si>
    <t>State and district targets</t>
  </si>
  <si>
    <t>Usually every financial year, after budget and target allocation</t>
  </si>
  <si>
    <t>Remaining quota or application status</t>
  </si>
  <si>
    <t>May update near real time on the portal</t>
  </si>
  <si>
    <t>Schemes &amp; Services.xlsx</t>
  </si>
  <si>
    <t>Microsoft Word - Agricultural schmes.Gujarat.docx</t>
  </si>
  <si>
    <t>Directorate_Agricuture</t>
  </si>
  <si>
    <t>agriharyana.gov.in/MechCRMScheme</t>
  </si>
  <si>
    <t>agriharyana.gov.in/MechSMAMScheme.aspx</t>
  </si>
  <si>
    <t>SUB MISSION ON AGRICULTURE MECHANIZATION (SMAM) | HP Agriculture</t>
  </si>
  <si>
    <t>RAJYA KRISHI YANTRIKARAN PROGRAMME | HP Agriculture</t>
  </si>
  <si>
    <t>Central</t>
  </si>
  <si>
    <t>-</t>
  </si>
  <si>
    <t>bing.com/ck/a?!&amp;&amp;p=726b78efb6f577e022bc6c488e4de5fdf9c5e2f4e44adc09221b87bd88264a88JmltdHM9MTc4NzYxNjAwMA&amp;ptn=3&amp;ver=2&amp;hsh=4&amp;fclid=29ef4aad-7a57-6dee-2d61-5c437bc06c84&amp;psq=farm+implements+subsidy+Maharashtra+pdf&amp;u=a1aHR0cHM6Ly9tYWhhZGJ0Lm1haGFyYXNodHJhLmdvdi5pbi9GYXJtZXIvU2NoZW1lRGF0YS9TY2hlbWVEYXRhP3N0cj1FOURERkE3MDNDMzhFNTFBMTQ3QjM5QUQ0RDZBOTA4Mg&amp;ntb=1</t>
  </si>
  <si>
    <t>Complete List of Farmer Subsidy Schemes in Maharashtra 2026: Comprehensive Guide</t>
  </si>
  <si>
    <t>Agriculture - Farm Mechanization</t>
  </si>
  <si>
    <t>Year not mentioned</t>
  </si>
  <si>
    <t>Centrally Sponsored Scheme, general states</t>
  </si>
  <si>
    <t>Usually 60%</t>
  </si>
  <si>
    <t>Usually 40%</t>
  </si>
  <si>
    <t>Centrally Sponsored Scheme, eligible Northeastern and Himalayan states</t>
  </si>
  <si>
    <t>Usually 90%</t>
  </si>
  <si>
    <t>Usually 10%</t>
  </si>
  <si>
    <t>Central share</t>
  </si>
  <si>
    <t>State share</t>
  </si>
  <si>
    <t>33385.pdf</t>
  </si>
  <si>
    <t>Department of Agriculture</t>
  </si>
  <si>
    <t>SMAM Sikkim: Subsidy Guide for Hill Farmers on Tractors &amp; Farming Equipment | IIFL Finance</t>
  </si>
  <si>
    <t>Sub Mission on Agricultural Mechanization</t>
  </si>
  <si>
    <t>PreviewPage.tsl</t>
  </si>
  <si>
    <t>Annual Plan 24-25_agri-230924.pdf</t>
  </si>
  <si>
    <t>Sub Mission on Agriculture Mechanization (SMAM) | Agriculture Department Uttarakhand | India</t>
  </si>
  <si>
    <t>Department of Agriculture, Government of West Bengal</t>
  </si>
  <si>
    <t>Current scheme page; year not mentioned</t>
  </si>
  <si>
    <t>Policy not found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</si>
</sst>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Red]&quot;₹&quot;\ \-#,##0"/>
  </numFmts>
  <fonts count="8" x14ac:knownFonts="1">
    <font>
      <sz val="11"/>
      <color theme="1"/>
      <name val="Aptos Narrow"/>
      <family val="2"/>
      <scheme val="minor"/>
    </font>
    <font>
      <sz val="11"/>
      <color theme="1"/>
      <name val="Aptos Narrow"/>
      <family val="2"/>
      <scheme val="minor"/>
    </font>
    <font>
      <b/>
      <sz val="11"/>
      <color theme="1"/>
      <name val="Aptos Narrow"/>
      <family val="2"/>
      <scheme val="minor"/>
    </font>
    <font>
      <u/>
      <sz val="11"/>
      <color theme="10"/>
      <name val="Aptos Narrow"/>
      <family val="2"/>
      <scheme val="minor"/>
    </font>
    <font>
      <sz val="12"/>
      <color rgb="FF333333"/>
      <name val="Times New Roman"/>
      <family val="1"/>
    </font>
    <font>
      <b/>
      <sz val="8"/>
      <color rgb="FF212529"/>
      <name val="Arial"/>
      <family val="2"/>
    </font>
    <font>
      <sz val="8"/>
      <color rgb="FF212529"/>
      <name val="Arial"/>
      <family val="2"/>
    </font>
    <font>
      <sz val="11"/>
      <color theme="1"/>
      <name val="Segoe UI"/>
      <family val="2"/>
    </font>
  </fonts>
  <fills count="4">
    <fill>
      <patternFill patternType="none"/>
    </fill>
    <fill>
      <patternFill patternType="gray125"/>
    </fill>
    <fill>
      <patternFill patternType="solid">
        <fgColor rgb="FFF8F9FA"/>
        <bgColor indexed="64"/>
      </patternFill>
    </fill>
    <fill>
      <patternFill patternType="solid">
        <fgColor rgb="FFFFFFFF"/>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medium">
        <color rgb="FFDEE2E6"/>
      </left>
      <right style="medium">
        <color rgb="FFDEE2E6"/>
      </right>
      <top style="medium">
        <color rgb="FFDEE2E6"/>
      </top>
      <bottom style="medium">
        <color rgb="FFDEE2E6"/>
      </bottom>
      <diagonal/>
    </border>
    <border>
      <left style="medium">
        <color rgb="FFDEE2E6"/>
      </left>
      <right style="medium">
        <color rgb="FFDEE2E6"/>
      </right>
      <top style="medium">
        <color rgb="FFDEE2E6"/>
      </top>
      <bottom/>
      <diagonal/>
    </border>
    <border>
      <left style="medium">
        <color rgb="FFDEE2E6"/>
      </left>
      <right style="medium">
        <color rgb="FFDEE2E6"/>
      </right>
      <top/>
      <bottom style="medium">
        <color rgb="FFDEE2E6"/>
      </bottom>
      <diagonal/>
    </border>
    <border>
      <left style="medium">
        <color rgb="FFDEE2E6"/>
      </left>
      <right style="medium">
        <color rgb="FFDEE2E6"/>
      </right>
      <top/>
      <bottom/>
      <diagonal/>
    </border>
    <border>
      <left style="medium">
        <color rgb="FFDEE2E6"/>
      </left>
      <right/>
      <top style="medium">
        <color rgb="FFDEE2E6"/>
      </top>
      <bottom style="medium">
        <color rgb="FFDEE2E6"/>
      </bottom>
      <diagonal/>
    </border>
    <border>
      <left/>
      <right/>
      <top style="medium">
        <color rgb="FFDEE2E6"/>
      </top>
      <bottom style="medium">
        <color rgb="FFDEE2E6"/>
      </bottom>
      <diagonal/>
    </border>
    <border>
      <left/>
      <right style="medium">
        <color rgb="FFDEE2E6"/>
      </right>
      <top style="medium">
        <color rgb="FFDEE2E6"/>
      </top>
      <bottom style="medium">
        <color rgb="FFDEE2E6"/>
      </bottom>
      <diagonal/>
    </border>
    <border>
      <left style="thin">
        <color indexed="64"/>
      </left>
      <right style="thin">
        <color indexed="64"/>
      </right>
      <top/>
      <bottom/>
      <diagonal/>
    </border>
    <border>
      <left style="medium">
        <color rgb="FFE6E6E6"/>
      </left>
      <right style="medium">
        <color rgb="FFE6E6E6"/>
      </right>
      <top style="medium">
        <color rgb="FFE6E6E6"/>
      </top>
      <bottom style="medium">
        <color rgb="FFE6E6E6"/>
      </bottom>
      <diagonal/>
    </border>
    <border>
      <left style="thin">
        <color indexed="64"/>
      </left>
      <right/>
      <top style="thin">
        <color indexed="64"/>
      </top>
      <bottom style="thin">
        <color indexed="64"/>
      </bottom>
      <diagonal/>
    </border>
  </borders>
  <cellStyleXfs count="3">
    <xf numFmtId="0" fontId="0" fillId="0" borderId="0"/>
    <xf numFmtId="9" fontId="1" fillId="0" borderId="0" applyFont="0" applyFill="0" applyBorder="0" applyAlignment="0" applyProtection="0"/>
    <xf numFmtId="0" fontId="3" fillId="0" borderId="0" applyNumberFormat="0" applyFill="0" applyBorder="0" applyAlignment="0" applyProtection="0"/>
  </cellStyleXfs>
  <cellXfs count="49">
    <xf numFmtId="0" fontId="0" fillId="0" borderId="0" xfId="0"/>
    <xf numFmtId="0" fontId="2" fillId="0" borderId="0" xfId="0" applyFont="1" applyAlignment="1">
      <alignment horizontal="center" vertical="center" wrapText="1"/>
    </xf>
    <xf numFmtId="0" fontId="0" fillId="0" borderId="0" xfId="0" applyAlignment="1">
      <alignment vertical="center" wrapText="1"/>
    </xf>
    <xf numFmtId="164" fontId="0" fillId="0" borderId="0" xfId="0" applyNumberFormat="1" applyAlignment="1">
      <alignment vertical="center" wrapText="1"/>
    </xf>
    <xf numFmtId="0" fontId="2" fillId="0" borderId="0" xfId="0" applyFont="1"/>
    <xf numFmtId="0" fontId="2" fillId="0" borderId="0" xfId="0" applyFont="1" applyAlignment="1">
      <alignment vertical="center" wrapText="1"/>
    </xf>
    <xf numFmtId="0" fontId="3" fillId="0" borderId="0" xfId="2"/>
    <xf numFmtId="9" fontId="0" fillId="0" borderId="0" xfId="0" applyNumberFormat="1"/>
    <xf numFmtId="0" fontId="4" fillId="0" borderId="0" xfId="0" applyFont="1"/>
    <xf numFmtId="0" fontId="0" fillId="0" borderId="0" xfId="0" applyAlignment="1">
      <alignment horizontal="left" vertical="center" indent="1"/>
    </xf>
    <xf numFmtId="0" fontId="2" fillId="0" borderId="1" xfId="0" applyFont="1" applyBorder="1"/>
    <xf numFmtId="0" fontId="2" fillId="0" borderId="1" xfId="0" applyFont="1" applyBorder="1" applyAlignment="1">
      <alignment horizontal="center" vertical="center" wrapText="1"/>
    </xf>
    <xf numFmtId="0" fontId="0" fillId="0" borderId="1" xfId="0" applyBorder="1"/>
    <xf numFmtId="0" fontId="0" fillId="0" borderId="1" xfId="0" applyBorder="1" applyAlignment="1">
      <alignment vertical="center" wrapText="1"/>
    </xf>
    <xf numFmtId="0" fontId="0" fillId="2" borderId="0" xfId="0" applyFill="1"/>
    <xf numFmtId="0" fontId="5" fillId="2" borderId="2" xfId="0" applyFont="1" applyFill="1" applyBorder="1" applyAlignment="1">
      <alignment horizontal="center" wrapText="1"/>
    </xf>
    <xf numFmtId="0" fontId="6" fillId="2" borderId="2" xfId="0" applyFont="1" applyFill="1" applyBorder="1" applyAlignment="1">
      <alignment vertical="top" wrapText="1"/>
    </xf>
    <xf numFmtId="0" fontId="5" fillId="2" borderId="2" xfId="0" applyFont="1" applyFill="1" applyBorder="1" applyAlignment="1">
      <alignment vertical="top" wrapText="1"/>
    </xf>
    <xf numFmtId="9" fontId="0" fillId="0" borderId="0" xfId="1" applyFont="1"/>
    <xf numFmtId="0" fontId="0" fillId="0" borderId="0" xfId="0" applyAlignment="1">
      <alignment wrapText="1"/>
    </xf>
    <xf numFmtId="0" fontId="0" fillId="0" borderId="0" xfId="0" applyAlignment="1">
      <alignment horizontal="left" wrapText="1"/>
    </xf>
    <xf numFmtId="0" fontId="3" fillId="0" borderId="0" xfId="2" applyAlignment="1">
      <alignment wrapText="1"/>
    </xf>
    <xf numFmtId="0" fontId="2" fillId="0" borderId="0" xfId="0" applyFont="1" applyAlignment="1">
      <alignment wrapText="1"/>
    </xf>
    <xf numFmtId="0" fontId="0" fillId="0" borderId="1" xfId="0" applyBorder="1" applyAlignment="1">
      <alignment wrapText="1"/>
    </xf>
    <xf numFmtId="46" fontId="0" fillId="0" borderId="0" xfId="0" applyNumberFormat="1" applyAlignment="1">
      <alignment vertical="center" wrapText="1"/>
    </xf>
    <xf numFmtId="0" fontId="2" fillId="0" borderId="0" xfId="0" applyFont="1" applyAlignment="1">
      <alignment horizontal="left" vertical="center" indent="1"/>
    </xf>
    <xf numFmtId="0" fontId="0" fillId="0" borderId="0" xfId="0" applyAlignment="1">
      <alignment horizontal="right" vertical="center" wrapText="1"/>
    </xf>
    <xf numFmtId="0" fontId="2" fillId="0" borderId="0" xfId="0" applyFont="1" applyAlignment="1">
      <alignment horizontal="right" vertical="center" wrapText="1"/>
    </xf>
    <xf numFmtId="0" fontId="0" fillId="3" borderId="0" xfId="0" applyFill="1"/>
    <xf numFmtId="0" fontId="5" fillId="3" borderId="2" xfId="0" applyFont="1" applyFill="1" applyBorder="1" applyAlignment="1">
      <alignment horizontal="center" wrapText="1"/>
    </xf>
    <xf numFmtId="0" fontId="6" fillId="3" borderId="2" xfId="0" applyFont="1" applyFill="1" applyBorder="1" applyAlignment="1">
      <alignment vertical="top" wrapText="1" indent="1"/>
    </xf>
    <xf numFmtId="9" fontId="0" fillId="0" borderId="0" xfId="0" applyNumberFormat="1" applyAlignment="1">
      <alignment vertical="center" wrapText="1"/>
    </xf>
    <xf numFmtId="0" fontId="0" fillId="0" borderId="9" xfId="0" applyBorder="1" applyAlignment="1">
      <alignment vertical="center" wrapText="1"/>
    </xf>
    <xf numFmtId="0" fontId="0" fillId="0" borderId="0" xfId="0" applyAlignment="1">
      <alignment horizontal="center"/>
    </xf>
    <xf numFmtId="0" fontId="7" fillId="0" borderId="10" xfId="0" applyFont="1" applyBorder="1" applyAlignment="1">
      <alignment vertical="center" wrapText="1"/>
    </xf>
    <xf numFmtId="0" fontId="0" fillId="0" borderId="0" xfId="0" applyAlignment="1">
      <alignment horizontal="left" wrapText="1"/>
    </xf>
    <xf numFmtId="0" fontId="5" fillId="2" borderId="3" xfId="0" applyFont="1" applyFill="1" applyBorder="1" applyAlignment="1">
      <alignment vertical="top" wrapText="1"/>
    </xf>
    <xf numFmtId="0" fontId="5" fillId="2" borderId="4" xfId="0" applyFont="1" applyFill="1" applyBorder="1" applyAlignment="1">
      <alignment vertical="top" wrapText="1"/>
    </xf>
    <xf numFmtId="0" fontId="5" fillId="2" borderId="6" xfId="0" applyFont="1" applyFill="1" applyBorder="1" applyAlignment="1">
      <alignment vertical="top" wrapText="1"/>
    </xf>
    <xf numFmtId="0" fontId="5" fillId="2" borderId="7" xfId="0" applyFont="1" applyFill="1" applyBorder="1" applyAlignment="1">
      <alignment vertical="top" wrapText="1"/>
    </xf>
    <xf numFmtId="0" fontId="5" fillId="2" borderId="8" xfId="0" applyFont="1" applyFill="1" applyBorder="1" applyAlignment="1">
      <alignment vertical="top" wrapText="1"/>
    </xf>
    <xf numFmtId="0" fontId="5" fillId="2" borderId="5" xfId="0" applyFont="1" applyFill="1" applyBorder="1" applyAlignment="1">
      <alignment vertical="top" wrapText="1"/>
    </xf>
    <xf numFmtId="0" fontId="5" fillId="2" borderId="3" xfId="0" applyFont="1" applyFill="1" applyBorder="1" applyAlignment="1">
      <alignment horizontal="center" vertical="top" wrapText="1"/>
    </xf>
    <xf numFmtId="0" fontId="5" fillId="2" borderId="4" xfId="0" applyFont="1" applyFill="1" applyBorder="1" applyAlignment="1">
      <alignment horizontal="center" vertical="top" wrapText="1"/>
    </xf>
    <xf numFmtId="0" fontId="0" fillId="0" borderId="1" xfId="0" applyBorder="1" applyAlignment="1">
      <alignment horizontal="left"/>
    </xf>
    <xf numFmtId="0" fontId="0" fillId="0" borderId="0" xfId="0" applyAlignment="1">
      <alignment horizontal="left"/>
    </xf>
    <xf numFmtId="0" fontId="3" fillId="0" borderId="11" xfId="2" applyBorder="1" applyAlignment="1">
      <alignment horizontal="left"/>
    </xf>
    <xf numFmtId="0" fontId="3" fillId="0" borderId="1" xfId="2" applyBorder="1" applyAlignment="1">
      <alignment horizontal="left"/>
    </xf>
    <xf numFmtId="0" fontId="0" fillId="0" borderId="11" xfId="0" applyBorder="1" applyAlignment="1">
      <alignment horizontal="left"/>
    </xf>
  </cellXfs>
  <cellStyles count="3">
    <cellStyle name="Hyperlink" xfId="2" builtinId="8"/>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microsoft.com/office/2017/10/relationships/person" Target="persons/perso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myscheme.gov.in/schemes/smam"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www.bighaat.com/kisan-vedika/blogs/per-drop-more-crop-pdmc"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farmech.dac.gov.in/Content/New_Folder/Revised_SMAM_Guidelines_%282025%29_With_Covering.pdf"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farmech.bihar.gov.in/FMNEW/MechanizationImplementList2025_2026.pdf"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agriharyana.gov.in/MechSMAMScheme.aspx"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agri.odisha.gov.in/sites/default/files/2025-04/SMAM%20WRITE%20UP.pdf"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s://agrimachinerypb.com/filies/Consolidated_permissible_subsidy.pdf"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s://mahadbt.maharashtra.gov.in/Farmer/PDF/Benefit_SubmissionOnFarmMechanization.pdf"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https://www.pib.gov.in/PressReleasePage.aspx?PRID=2082790&amp;reg=3&amp;lang=2" TargetMode="External"/></Relationships>
</file>

<file path=xl/worksheets/_rels/sheet17.xml.rels><?xml version="1.0" encoding="UTF-8" standalone="yes"?>
<Relationships xmlns="http://schemas.openxmlformats.org/package/2006/relationships"><Relationship Id="rId8" Type="http://schemas.openxmlformats.org/officeDocument/2006/relationships/hyperlink" Target="https://www.agri.goa.gov.in/Upload/Schemes%20&amp;%20Services%202020-2021.pdf" TargetMode="External"/><Relationship Id="rId13" Type="http://schemas.openxmlformats.org/officeDocument/2006/relationships/hyperlink" Target="https://agriculture.hp.gov.in/en/our-scheme/sub-mission-on-agriculture-mechanization-smam/" TargetMode="External"/><Relationship Id="rId18" Type="http://schemas.openxmlformats.org/officeDocument/2006/relationships/hyperlink" Target="https://agriculturemizoram.nic.in/pages/mechanization.html" TargetMode="External"/><Relationship Id="rId26" Type="http://schemas.openxmlformats.org/officeDocument/2006/relationships/hyperlink" Target="https://agriculture.uk.gov.in/scheme/sub-mission-on-agriculture-mechanization-smam/" TargetMode="External"/><Relationship Id="rId3" Type="http://schemas.openxmlformats.org/officeDocument/2006/relationships/hyperlink" Target="https://www.iifl.com/blogs/other/smam-tractor-subsidy-arunachal-pradesh" TargetMode="External"/><Relationship Id="rId21" Type="http://schemas.openxmlformats.org/officeDocument/2006/relationships/hyperlink" Target="https://rajkisan.rajasthan.gov.in/WebsiteNew/Implement.html" TargetMode="External"/><Relationship Id="rId7" Type="http://schemas.openxmlformats.org/officeDocument/2006/relationships/hyperlink" Target="https://www.agri.goa.gov.in/Upload/Schemes%20&amp;%20Services%202020-2021.pdf" TargetMode="External"/><Relationship Id="rId12" Type="http://schemas.openxmlformats.org/officeDocument/2006/relationships/hyperlink" Target="https://agriharyana.gov.in/MechSMAMScheme.aspx" TargetMode="External"/><Relationship Id="rId17" Type="http://schemas.openxmlformats.org/officeDocument/2006/relationships/hyperlink" Target="https://www.mittigoldorganic.com/blog/list-farmer-subsidy-schemes-maharashtra-2026" TargetMode="External"/><Relationship Id="rId25" Type="http://schemas.openxmlformats.org/officeDocument/2006/relationships/hyperlink" Target="https://agri.tripura.gov.in/sites/default/files/Annual%20Plan%2024-25_agri-230924.pdf" TargetMode="External"/><Relationship Id="rId2" Type="http://schemas.openxmlformats.org/officeDocument/2006/relationships/hyperlink" Target="https://www.iifl.com/blogs/other/smam-tractor-subsidy-arunachal-pradesh" TargetMode="External"/><Relationship Id="rId16" Type="http://schemas.openxmlformats.org/officeDocument/2006/relationships/hyperlink" Target="https://www.bing.com/search?q=farm%20implements%20subsidy%20Maharashtra%20pdf&amp;qs=n&amp;form=QBRE&amp;sp=-1&amp;lq=0&amp;pq=farm%20implements%20subsidy%20maharashtrapdf&amp;sc=12-38&amp;sk=&amp;cvid=A94C2CA1FEB84011A56CB578CCC4E957" TargetMode="External"/><Relationship Id="rId20" Type="http://schemas.openxmlformats.org/officeDocument/2006/relationships/hyperlink" Target="https://agrisnetodisha.ori.nic.in/33385.pdf" TargetMode="External"/><Relationship Id="rId29" Type="http://schemas.openxmlformats.org/officeDocument/2006/relationships/hyperlink" Target="https://agriculture.wb.gov.in/farm-mechanization" TargetMode="External"/><Relationship Id="rId1" Type="http://schemas.openxmlformats.org/officeDocument/2006/relationships/hyperlink" Target="https://diragri.assam.gov.in/schemes/sub-mission-on-agricultural-mechanisation-smam" TargetMode="External"/><Relationship Id="rId6" Type="http://schemas.openxmlformats.org/officeDocument/2006/relationships/hyperlink" Target="https://pameti.org.in/wp-content/uploads/2025/01/Compendium-of-Government-Schemes-run-by-agriculture-and-allied-departments.pdf" TargetMode="External"/><Relationship Id="rId11" Type="http://schemas.openxmlformats.org/officeDocument/2006/relationships/hyperlink" Target="https://agriharyana.gov.in/MechCRMScheme" TargetMode="External"/><Relationship Id="rId24" Type="http://schemas.openxmlformats.org/officeDocument/2006/relationships/hyperlink" Target="https://legislation-legislature.telangana.gov.in/PreviewPage.tsl?filePath=basePath&amp;fileName=Statements/English/Eng_21_1_7.pdf" TargetMode="External"/><Relationship Id="rId5" Type="http://schemas.openxmlformats.org/officeDocument/2006/relationships/hyperlink" Target="https://pameti.org.in/wp-content/uploads/2025/01/Compendium-of-Government-Schemes-run-by-agriculture-and-allied-departments.pdf" TargetMode="External"/><Relationship Id="rId15" Type="http://schemas.openxmlformats.org/officeDocument/2006/relationships/hyperlink" Target="https://farmech.dac.gov.in/Content/New_Folder/Revised_SMAM_Guidelines_(2025)_With_Covering.pdf" TargetMode="External"/><Relationship Id="rId23" Type="http://schemas.openxmlformats.org/officeDocument/2006/relationships/hyperlink" Target="https://aed.tn.gov.in/en/schemes/agricultural-mechanisation/sub-mission-on-agricultural-mechanisation/" TargetMode="External"/><Relationship Id="rId28" Type="http://schemas.openxmlformats.org/officeDocument/2006/relationships/hyperlink" Target="https://agri.tripura.gov.in/sites/default/files/Annual%20Plan%2024-25_agri-230924.pdf" TargetMode="External"/><Relationship Id="rId10" Type="http://schemas.openxmlformats.org/officeDocument/2006/relationships/hyperlink" Target="https://dag.gujarat.gov.in/Home/SchemesDetailsPage/9whX1efZSl8wVsjqjrs8hw%E2%99%AC%E2%99%AC" TargetMode="External"/><Relationship Id="rId19" Type="http://schemas.openxmlformats.org/officeDocument/2006/relationships/hyperlink" Target="https://agriculturemizoram.nic.in/pages/mechanization.html" TargetMode="External"/><Relationship Id="rId4" Type="http://schemas.openxmlformats.org/officeDocument/2006/relationships/hyperlink" Target="https://farmech.bihar.gov.in/FMNEW/MechanizationImplementList2025_2026.pdf" TargetMode="External"/><Relationship Id="rId9" Type="http://schemas.openxmlformats.org/officeDocument/2006/relationships/hyperlink" Target="https://www.manage.gov.in/fpoacademy/SGSchemes/gujarat.pdf" TargetMode="External"/><Relationship Id="rId14" Type="http://schemas.openxmlformats.org/officeDocument/2006/relationships/hyperlink" Target="https://agriculture.hp.gov.in/en/our-scheme/state-agricultural-mechanisation/" TargetMode="External"/><Relationship Id="rId22" Type="http://schemas.openxmlformats.org/officeDocument/2006/relationships/hyperlink" Target="https://www.iifl.com/blogs/other/smam-sikkim-tractor-subsidy-guide" TargetMode="External"/><Relationship Id="rId27" Type="http://schemas.openxmlformats.org/officeDocument/2006/relationships/hyperlink" Target="https://agriculture.wb.gov.in/farm-mechanizatio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2551F0-DB67-41B2-AD9C-EF59D4464976}">
  <sheetPr codeName="Sheet1"/>
  <dimension ref="A1:F26"/>
  <sheetViews>
    <sheetView workbookViewId="0">
      <selection activeCell="C24" sqref="C24"/>
    </sheetView>
  </sheetViews>
  <sheetFormatPr defaultRowHeight="14.5" x14ac:dyDescent="0.35"/>
  <cols>
    <col min="3" max="3" width="25.54296875" bestFit="1" customWidth="1"/>
  </cols>
  <sheetData>
    <row r="1" spans="1:6" x14ac:dyDescent="0.35">
      <c r="A1" s="6" t="s">
        <v>0</v>
      </c>
      <c r="F1" t="s">
        <v>1</v>
      </c>
    </row>
    <row r="3" spans="1:6" x14ac:dyDescent="0.35">
      <c r="A3" t="s">
        <v>2</v>
      </c>
    </row>
    <row r="5" spans="1:6" x14ac:dyDescent="0.35">
      <c r="A5" t="s">
        <v>3</v>
      </c>
    </row>
    <row r="8" spans="1:6" x14ac:dyDescent="0.35">
      <c r="D8" t="s">
        <v>4</v>
      </c>
    </row>
    <row r="9" spans="1:6" x14ac:dyDescent="0.35">
      <c r="C9" t="s">
        <v>5</v>
      </c>
      <c r="D9" s="18">
        <v>0.5</v>
      </c>
    </row>
    <row r="10" spans="1:6" x14ac:dyDescent="0.35">
      <c r="C10" t="s">
        <v>6</v>
      </c>
      <c r="D10" s="18">
        <v>0.5</v>
      </c>
    </row>
    <row r="11" spans="1:6" x14ac:dyDescent="0.35">
      <c r="C11" t="s">
        <v>7</v>
      </c>
      <c r="D11" s="18">
        <v>0.5</v>
      </c>
    </row>
    <row r="12" spans="1:6" x14ac:dyDescent="0.35">
      <c r="C12" t="s">
        <v>8</v>
      </c>
      <c r="D12" s="18">
        <v>0.5</v>
      </c>
    </row>
    <row r="13" spans="1:6" x14ac:dyDescent="0.35">
      <c r="C13" t="s">
        <v>9</v>
      </c>
      <c r="D13" s="18">
        <v>0.5</v>
      </c>
    </row>
    <row r="14" spans="1:6" x14ac:dyDescent="0.35">
      <c r="C14" t="s">
        <v>10</v>
      </c>
      <c r="D14" s="18">
        <v>0.5</v>
      </c>
    </row>
    <row r="15" spans="1:6" x14ac:dyDescent="0.35">
      <c r="C15" t="s">
        <v>11</v>
      </c>
      <c r="D15" s="18">
        <v>0.5</v>
      </c>
    </row>
    <row r="16" spans="1:6" x14ac:dyDescent="0.35">
      <c r="C16" t="s">
        <v>12</v>
      </c>
      <c r="D16" s="18">
        <v>0.5</v>
      </c>
    </row>
    <row r="17" spans="2:6" x14ac:dyDescent="0.35">
      <c r="B17" t="s">
        <v>13</v>
      </c>
      <c r="C17" t="s">
        <v>14</v>
      </c>
      <c r="D17" s="18">
        <v>0.8</v>
      </c>
      <c r="E17" t="s">
        <v>15</v>
      </c>
      <c r="F17" t="s">
        <v>16</v>
      </c>
    </row>
    <row r="20" spans="2:6" x14ac:dyDescent="0.35">
      <c r="B20" t="s">
        <v>17</v>
      </c>
    </row>
    <row r="23" spans="2:6" x14ac:dyDescent="0.35">
      <c r="C23" t="s">
        <v>18</v>
      </c>
      <c r="D23" t="s">
        <v>19</v>
      </c>
    </row>
    <row r="24" spans="2:6" x14ac:dyDescent="0.35">
      <c r="D24" t="s">
        <v>20</v>
      </c>
    </row>
    <row r="25" spans="2:6" x14ac:dyDescent="0.35">
      <c r="D25" t="s">
        <v>21</v>
      </c>
    </row>
    <row r="26" spans="2:6" x14ac:dyDescent="0.35">
      <c r="D26" t="s">
        <v>22</v>
      </c>
    </row>
  </sheetData>
  <hyperlinks>
    <hyperlink ref="A1" r:id="rId1" display="https://www.myscheme.gov.in/schemes/smam" xr:uid="{0E8C4F99-FE66-435F-8BA3-5827C611BB36}"/>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2F4C99-C302-4DB1-B63F-9CD46DB43D5B}">
  <sheetPr codeName="Sheet2"/>
  <dimension ref="A1:G28"/>
  <sheetViews>
    <sheetView workbookViewId="0">
      <selection activeCell="B13" sqref="B13"/>
    </sheetView>
  </sheetViews>
  <sheetFormatPr defaultRowHeight="14.5" x14ac:dyDescent="0.35"/>
  <cols>
    <col min="1" max="1" width="35.26953125" style="19" customWidth="1"/>
    <col min="2" max="2" width="39" style="19" customWidth="1"/>
  </cols>
  <sheetData>
    <row r="1" spans="1:7" ht="29" x14ac:dyDescent="0.35">
      <c r="A1" s="19" t="s">
        <v>23</v>
      </c>
      <c r="B1" s="21" t="s">
        <v>24</v>
      </c>
    </row>
    <row r="3" spans="1:7" ht="29" x14ac:dyDescent="0.35">
      <c r="A3" s="19" t="s">
        <v>25</v>
      </c>
    </row>
    <row r="4" spans="1:7" ht="29" x14ac:dyDescent="0.35">
      <c r="A4" s="19" t="s">
        <v>26</v>
      </c>
    </row>
    <row r="5" spans="1:7" ht="43.5" x14ac:dyDescent="0.35">
      <c r="A5" s="19" t="s">
        <v>27</v>
      </c>
    </row>
    <row r="6" spans="1:7" x14ac:dyDescent="0.35">
      <c r="A6" s="19" t="s">
        <v>28</v>
      </c>
    </row>
    <row r="7" spans="1:7" ht="67" customHeight="1" x14ac:dyDescent="0.35">
      <c r="A7" s="35" t="s">
        <v>29</v>
      </c>
      <c r="B7" s="35"/>
      <c r="C7" s="35"/>
      <c r="D7" s="35"/>
      <c r="E7" s="35"/>
      <c r="F7" s="35"/>
      <c r="G7" s="35"/>
    </row>
    <row r="8" spans="1:7" x14ac:dyDescent="0.35">
      <c r="A8" s="20"/>
      <c r="B8" s="20"/>
      <c r="C8" s="20"/>
      <c r="D8" s="20"/>
      <c r="E8" s="20"/>
      <c r="F8" s="20"/>
      <c r="G8" s="20"/>
    </row>
    <row r="9" spans="1:7" x14ac:dyDescent="0.35">
      <c r="A9" s="22" t="s">
        <v>30</v>
      </c>
    </row>
    <row r="10" spans="1:7" x14ac:dyDescent="0.35">
      <c r="A10" s="19" t="s">
        <v>31</v>
      </c>
      <c r="B10" s="19" t="s">
        <v>32</v>
      </c>
    </row>
    <row r="11" spans="1:7" ht="43.5" x14ac:dyDescent="0.35">
      <c r="A11" s="19" t="s">
        <v>33</v>
      </c>
      <c r="B11" s="19" t="s">
        <v>34</v>
      </c>
    </row>
    <row r="12" spans="1:7" ht="29" x14ac:dyDescent="0.35">
      <c r="A12" s="19" t="s">
        <v>35</v>
      </c>
      <c r="B12" s="19" t="s">
        <v>36</v>
      </c>
    </row>
    <row r="13" spans="1:7" ht="29" x14ac:dyDescent="0.35">
      <c r="A13" s="19" t="s">
        <v>37</v>
      </c>
      <c r="B13" s="19" t="s">
        <v>38</v>
      </c>
    </row>
    <row r="14" spans="1:7" ht="29" x14ac:dyDescent="0.35">
      <c r="A14" s="19" t="s">
        <v>39</v>
      </c>
      <c r="B14" s="19" t="s">
        <v>40</v>
      </c>
    </row>
    <row r="15" spans="1:7" ht="29" x14ac:dyDescent="0.35">
      <c r="A15" s="19" t="s">
        <v>41</v>
      </c>
      <c r="B15" s="19" t="s">
        <v>42</v>
      </c>
    </row>
    <row r="16" spans="1:7" ht="29" x14ac:dyDescent="0.35">
      <c r="A16" s="19" t="s">
        <v>43</v>
      </c>
      <c r="B16" s="19" t="s">
        <v>44</v>
      </c>
    </row>
    <row r="17" spans="1:2" ht="43.5" x14ac:dyDescent="0.35">
      <c r="A17" s="19" t="s">
        <v>45</v>
      </c>
      <c r="B17" s="19" t="s">
        <v>46</v>
      </c>
    </row>
    <row r="18" spans="1:2" ht="58" x14ac:dyDescent="0.35">
      <c r="A18" s="19" t="s">
        <v>47</v>
      </c>
      <c r="B18" s="19" t="s">
        <v>48</v>
      </c>
    </row>
    <row r="19" spans="1:2" ht="43.5" x14ac:dyDescent="0.35">
      <c r="A19" s="19" t="s">
        <v>49</v>
      </c>
      <c r="B19" s="19" t="s">
        <v>50</v>
      </c>
    </row>
    <row r="20" spans="1:2" ht="58" x14ac:dyDescent="0.35">
      <c r="A20" s="19" t="s">
        <v>51</v>
      </c>
      <c r="B20" s="19" t="s">
        <v>52</v>
      </c>
    </row>
    <row r="21" spans="1:2" ht="29" x14ac:dyDescent="0.35">
      <c r="A21" s="19" t="s">
        <v>53</v>
      </c>
      <c r="B21" s="19" t="s">
        <v>54</v>
      </c>
    </row>
    <row r="22" spans="1:2" x14ac:dyDescent="0.35">
      <c r="A22" s="23" t="s">
        <v>55</v>
      </c>
    </row>
    <row r="23" spans="1:2" ht="29" x14ac:dyDescent="0.35">
      <c r="A23" s="23" t="s">
        <v>56</v>
      </c>
    </row>
    <row r="24" spans="1:2" ht="29" x14ac:dyDescent="0.35">
      <c r="A24" s="23" t="s">
        <v>57</v>
      </c>
    </row>
    <row r="25" spans="1:2" ht="29" x14ac:dyDescent="0.35">
      <c r="A25" s="23" t="s">
        <v>58</v>
      </c>
    </row>
    <row r="26" spans="1:2" ht="29" x14ac:dyDescent="0.35">
      <c r="A26" s="23" t="s">
        <v>59</v>
      </c>
    </row>
    <row r="27" spans="1:2" ht="29" x14ac:dyDescent="0.35">
      <c r="A27" s="23" t="s">
        <v>60</v>
      </c>
    </row>
    <row r="28" spans="1:2" ht="29" x14ac:dyDescent="0.35">
      <c r="A28" s="23" t="s">
        <v>61</v>
      </c>
    </row>
  </sheetData>
  <mergeCells count="1">
    <mergeCell ref="A7:G7"/>
  </mergeCells>
  <hyperlinks>
    <hyperlink ref="B1" r:id="rId1" display="https://www.bighaat.com/kisan-vedika/blogs/per-drop-more-crop-pdmc" xr:uid="{0DF093B7-24D3-4EBF-A29B-77830917B854}"/>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4D4723-C2BE-4671-B786-343F79612735}">
  <sheetPr codeName="Sheet3"/>
  <dimension ref="B1:E27"/>
  <sheetViews>
    <sheetView topLeftCell="A4" workbookViewId="0">
      <selection activeCell="D24" sqref="D24"/>
    </sheetView>
  </sheetViews>
  <sheetFormatPr defaultRowHeight="14.5" x14ac:dyDescent="0.35"/>
  <cols>
    <col min="2" max="2" width="30.1796875" bestFit="1" customWidth="1"/>
    <col min="3" max="3" width="33.54296875" bestFit="1" customWidth="1"/>
    <col min="4" max="4" width="34.7265625" bestFit="1" customWidth="1"/>
    <col min="5" max="5" width="39.81640625" bestFit="1" customWidth="1"/>
  </cols>
  <sheetData>
    <row r="1" spans="2:5" x14ac:dyDescent="0.35">
      <c r="B1" s="6" t="s">
        <v>62</v>
      </c>
    </row>
    <row r="3" spans="2:5" x14ac:dyDescent="0.35">
      <c r="B3" s="1" t="s">
        <v>63</v>
      </c>
      <c r="C3" s="1" t="s">
        <v>64</v>
      </c>
      <c r="D3" s="1" t="s">
        <v>65</v>
      </c>
      <c r="E3" s="1" t="s">
        <v>66</v>
      </c>
    </row>
    <row r="4" spans="2:5" ht="43.5" x14ac:dyDescent="0.35">
      <c r="B4" s="5" t="s">
        <v>67</v>
      </c>
      <c r="C4" s="2" t="s">
        <v>68</v>
      </c>
      <c r="D4" s="2" t="s">
        <v>69</v>
      </c>
      <c r="E4" s="2" t="s">
        <v>70</v>
      </c>
    </row>
    <row r="5" spans="2:5" x14ac:dyDescent="0.35">
      <c r="B5" s="5" t="s">
        <v>71</v>
      </c>
      <c r="C5" s="2" t="s">
        <v>72</v>
      </c>
      <c r="D5" s="2" t="s">
        <v>73</v>
      </c>
      <c r="E5" s="2" t="s">
        <v>74</v>
      </c>
    </row>
    <row r="6" spans="2:5" x14ac:dyDescent="0.35">
      <c r="B6" s="5" t="s">
        <v>75</v>
      </c>
      <c r="C6" s="2" t="s">
        <v>76</v>
      </c>
      <c r="D6" s="2" t="s">
        <v>73</v>
      </c>
      <c r="E6" s="2" t="s">
        <v>77</v>
      </c>
    </row>
    <row r="7" spans="2:5" x14ac:dyDescent="0.35">
      <c r="B7" s="5" t="s">
        <v>78</v>
      </c>
      <c r="C7" s="2" t="s">
        <v>79</v>
      </c>
      <c r="D7" s="2" t="s">
        <v>80</v>
      </c>
      <c r="E7" s="2" t="s">
        <v>81</v>
      </c>
    </row>
    <row r="8" spans="2:5" ht="29" x14ac:dyDescent="0.35">
      <c r="B8" s="5" t="s">
        <v>82</v>
      </c>
      <c r="C8" s="2" t="s">
        <v>83</v>
      </c>
      <c r="D8" s="2" t="s">
        <v>74</v>
      </c>
      <c r="E8" s="2" t="s">
        <v>84</v>
      </c>
    </row>
    <row r="9" spans="2:5" x14ac:dyDescent="0.35">
      <c r="B9" s="5" t="s">
        <v>85</v>
      </c>
      <c r="C9" s="2" t="s">
        <v>86</v>
      </c>
      <c r="D9" s="2" t="s">
        <v>87</v>
      </c>
      <c r="E9" s="2" t="s">
        <v>88</v>
      </c>
    </row>
    <row r="10" spans="2:5" x14ac:dyDescent="0.35">
      <c r="B10" s="5" t="s">
        <v>89</v>
      </c>
      <c r="C10" s="2" t="s">
        <v>90</v>
      </c>
      <c r="D10" s="2" t="s">
        <v>91</v>
      </c>
      <c r="E10" s="2" t="s">
        <v>92</v>
      </c>
    </row>
    <row r="11" spans="2:5" x14ac:dyDescent="0.35">
      <c r="B11" s="5" t="s">
        <v>93</v>
      </c>
      <c r="C11" s="2" t="s">
        <v>94</v>
      </c>
      <c r="D11" s="2" t="s">
        <v>95</v>
      </c>
      <c r="E11" s="2" t="s">
        <v>96</v>
      </c>
    </row>
    <row r="12" spans="2:5" ht="29" x14ac:dyDescent="0.35">
      <c r="B12" s="5" t="s">
        <v>97</v>
      </c>
      <c r="C12" s="2" t="s">
        <v>98</v>
      </c>
      <c r="D12" s="2" t="s">
        <v>99</v>
      </c>
      <c r="E12" s="2" t="s">
        <v>100</v>
      </c>
    </row>
    <row r="13" spans="2:5" x14ac:dyDescent="0.35">
      <c r="B13" s="5" t="s">
        <v>101</v>
      </c>
      <c r="C13" s="2" t="s">
        <v>102</v>
      </c>
      <c r="D13" s="2" t="s">
        <v>91</v>
      </c>
      <c r="E13" s="2" t="s">
        <v>103</v>
      </c>
    </row>
    <row r="14" spans="2:5" ht="29" x14ac:dyDescent="0.35">
      <c r="B14" s="5" t="s">
        <v>104</v>
      </c>
      <c r="C14" s="2" t="s">
        <v>105</v>
      </c>
      <c r="D14" s="2" t="s">
        <v>106</v>
      </c>
      <c r="E14" s="2" t="s">
        <v>107</v>
      </c>
    </row>
    <row r="15" spans="2:5" x14ac:dyDescent="0.35">
      <c r="B15" s="5" t="s">
        <v>108</v>
      </c>
      <c r="C15" s="2" t="s">
        <v>109</v>
      </c>
      <c r="D15" s="2" t="s">
        <v>110</v>
      </c>
      <c r="E15" s="2" t="s">
        <v>111</v>
      </c>
    </row>
    <row r="16" spans="2:5" x14ac:dyDescent="0.35">
      <c r="B16" s="5" t="s">
        <v>112</v>
      </c>
      <c r="C16" s="2" t="s">
        <v>113</v>
      </c>
      <c r="D16" s="2" t="s">
        <v>74</v>
      </c>
      <c r="E16" s="2" t="s">
        <v>114</v>
      </c>
    </row>
    <row r="17" spans="2:5" x14ac:dyDescent="0.35">
      <c r="B17" s="5" t="s">
        <v>115</v>
      </c>
      <c r="C17" s="2" t="s">
        <v>116</v>
      </c>
      <c r="D17" s="2" t="s">
        <v>74</v>
      </c>
      <c r="E17" s="2" t="s">
        <v>74</v>
      </c>
    </row>
    <row r="18" spans="2:5" x14ac:dyDescent="0.35">
      <c r="B18" s="5" t="s">
        <v>117</v>
      </c>
      <c r="C18" s="2" t="s">
        <v>113</v>
      </c>
      <c r="D18" s="2" t="s">
        <v>74</v>
      </c>
      <c r="E18" s="2" t="s">
        <v>118</v>
      </c>
    </row>
    <row r="19" spans="2:5" x14ac:dyDescent="0.35">
      <c r="B19" s="5" t="s">
        <v>119</v>
      </c>
      <c r="C19" s="2" t="s">
        <v>120</v>
      </c>
      <c r="D19" s="2" t="s">
        <v>121</v>
      </c>
      <c r="E19" s="2" t="s">
        <v>122</v>
      </c>
    </row>
    <row r="20" spans="2:5" x14ac:dyDescent="0.35">
      <c r="B20" s="5" t="s">
        <v>123</v>
      </c>
      <c r="C20" s="2" t="s">
        <v>90</v>
      </c>
      <c r="D20" s="2" t="s">
        <v>124</v>
      </c>
      <c r="E20" s="2" t="s">
        <v>74</v>
      </c>
    </row>
    <row r="21" spans="2:5" x14ac:dyDescent="0.35">
      <c r="B21" s="5" t="s">
        <v>125</v>
      </c>
      <c r="C21" s="2" t="s">
        <v>90</v>
      </c>
      <c r="D21" s="2" t="s">
        <v>126</v>
      </c>
      <c r="E21" s="2" t="s">
        <v>74</v>
      </c>
    </row>
    <row r="24" spans="2:5" x14ac:dyDescent="0.35">
      <c r="B24" s="1" t="s">
        <v>127</v>
      </c>
      <c r="C24" s="1" t="s">
        <v>128</v>
      </c>
    </row>
    <row r="25" spans="2:5" x14ac:dyDescent="0.35">
      <c r="B25" s="2" t="s">
        <v>129</v>
      </c>
      <c r="C25" s="24">
        <v>2.5277777777777777</v>
      </c>
    </row>
    <row r="26" spans="2:5" x14ac:dyDescent="0.35">
      <c r="B26" s="2" t="s">
        <v>130</v>
      </c>
      <c r="C26" s="24">
        <v>3.7569444444444446</v>
      </c>
    </row>
    <row r="27" spans="2:5" x14ac:dyDescent="0.35">
      <c r="B27" s="2" t="s">
        <v>131</v>
      </c>
      <c r="C27" s="24">
        <v>4.166666666666667</v>
      </c>
    </row>
  </sheetData>
  <hyperlinks>
    <hyperlink ref="B1" r:id="rId1" display="https://farmech.dac.gov.in/Content/New_Folder/Revised_SMAM_Guidelines_%282025%29_With_Covering.pdf" xr:uid="{763A3EF7-DBDA-4978-9C2C-DD83C12DE43C}"/>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126355-8786-4400-8D07-0E94476648B6}">
  <sheetPr codeName="Sheet4"/>
  <dimension ref="A1:J104"/>
  <sheetViews>
    <sheetView topLeftCell="A83" workbookViewId="0">
      <selection activeCell="H90" sqref="H90"/>
    </sheetView>
  </sheetViews>
  <sheetFormatPr defaultRowHeight="14.5" x14ac:dyDescent="0.35"/>
  <cols>
    <col min="8" max="8" width="17.1796875" customWidth="1"/>
    <col min="9" max="9" width="23.81640625" customWidth="1"/>
    <col min="10" max="10" width="36.54296875" customWidth="1"/>
  </cols>
  <sheetData>
    <row r="1" spans="1:10" x14ac:dyDescent="0.35">
      <c r="A1" s="4" t="s">
        <v>132</v>
      </c>
      <c r="G1" s="6" t="s">
        <v>133</v>
      </c>
    </row>
    <row r="2" spans="1:10" x14ac:dyDescent="0.35">
      <c r="A2" s="9"/>
    </row>
    <row r="3" spans="1:10" x14ac:dyDescent="0.35">
      <c r="A3" s="25" t="s">
        <v>134</v>
      </c>
    </row>
    <row r="4" spans="1:10" x14ac:dyDescent="0.35">
      <c r="A4" s="9"/>
    </row>
    <row r="5" spans="1:10" x14ac:dyDescent="0.35">
      <c r="A5" s="25" t="s">
        <v>135</v>
      </c>
    </row>
    <row r="6" spans="1:10" x14ac:dyDescent="0.35">
      <c r="A6" s="9"/>
    </row>
    <row r="7" spans="1:10" x14ac:dyDescent="0.35">
      <c r="A7" s="9" t="s">
        <v>136</v>
      </c>
    </row>
    <row r="10" spans="1:10" ht="43.5" x14ac:dyDescent="0.35">
      <c r="B10" s="1" t="s">
        <v>137</v>
      </c>
      <c r="C10" s="1" t="s">
        <v>138</v>
      </c>
      <c r="D10" s="1" t="s">
        <v>139</v>
      </c>
      <c r="H10" s="1" t="s">
        <v>137</v>
      </c>
      <c r="I10" s="1" t="s">
        <v>140</v>
      </c>
      <c r="J10" s="1" t="s">
        <v>141</v>
      </c>
    </row>
    <row r="11" spans="1:10" ht="58" x14ac:dyDescent="0.35">
      <c r="B11" s="2" t="s">
        <v>142</v>
      </c>
      <c r="C11" s="2" t="s">
        <v>143</v>
      </c>
      <c r="D11" s="2" t="s">
        <v>143</v>
      </c>
      <c r="H11" s="2" t="s">
        <v>144</v>
      </c>
      <c r="I11" s="2" t="s">
        <v>145</v>
      </c>
      <c r="J11" s="2" t="s">
        <v>146</v>
      </c>
    </row>
    <row r="12" spans="1:10" ht="29" x14ac:dyDescent="0.35">
      <c r="B12" s="2" t="s">
        <v>147</v>
      </c>
      <c r="C12" s="2" t="s">
        <v>148</v>
      </c>
      <c r="D12" s="2" t="s">
        <v>149</v>
      </c>
      <c r="H12" s="2" t="s">
        <v>150</v>
      </c>
      <c r="I12" s="2" t="s">
        <v>151</v>
      </c>
      <c r="J12" s="2" t="s">
        <v>152</v>
      </c>
    </row>
    <row r="13" spans="1:10" x14ac:dyDescent="0.35">
      <c r="H13" s="2" t="s">
        <v>153</v>
      </c>
      <c r="I13" s="2" t="s">
        <v>154</v>
      </c>
      <c r="J13" s="2" t="s">
        <v>155</v>
      </c>
    </row>
    <row r="14" spans="1:10" ht="29" x14ac:dyDescent="0.35">
      <c r="H14" s="2" t="s">
        <v>156</v>
      </c>
      <c r="I14" s="2" t="s">
        <v>157</v>
      </c>
      <c r="J14" s="2" t="s">
        <v>158</v>
      </c>
    </row>
    <row r="15" spans="1:10" ht="43.5" x14ac:dyDescent="0.35">
      <c r="H15" s="2" t="s">
        <v>159</v>
      </c>
      <c r="I15" s="2" t="s">
        <v>160</v>
      </c>
      <c r="J15" s="2" t="s">
        <v>161</v>
      </c>
    </row>
    <row r="16" spans="1:10" ht="43.5" x14ac:dyDescent="0.35">
      <c r="H16" s="2" t="s">
        <v>162</v>
      </c>
      <c r="I16" s="2" t="s">
        <v>163</v>
      </c>
      <c r="J16" s="2" t="s">
        <v>164</v>
      </c>
    </row>
    <row r="17" spans="7:10" ht="43.5" x14ac:dyDescent="0.35">
      <c r="H17" s="2" t="s">
        <v>165</v>
      </c>
      <c r="I17" s="2" t="s">
        <v>166</v>
      </c>
      <c r="J17" s="2" t="s">
        <v>167</v>
      </c>
    </row>
    <row r="18" spans="7:10" x14ac:dyDescent="0.35">
      <c r="H18" s="2" t="s">
        <v>168</v>
      </c>
      <c r="I18" s="2" t="s">
        <v>169</v>
      </c>
      <c r="J18" s="2" t="s">
        <v>170</v>
      </c>
    </row>
    <row r="19" spans="7:10" ht="29" x14ac:dyDescent="0.35">
      <c r="H19" s="2" t="s">
        <v>171</v>
      </c>
      <c r="I19" s="2" t="s">
        <v>172</v>
      </c>
      <c r="J19" s="2" t="s">
        <v>173</v>
      </c>
    </row>
    <row r="20" spans="7:10" x14ac:dyDescent="0.35">
      <c r="H20" s="2" t="s">
        <v>174</v>
      </c>
      <c r="I20" s="2" t="s">
        <v>175</v>
      </c>
      <c r="J20" s="2" t="s">
        <v>176</v>
      </c>
    </row>
    <row r="21" spans="7:10" ht="43.5" x14ac:dyDescent="0.35">
      <c r="H21" s="2" t="s">
        <v>177</v>
      </c>
      <c r="I21" s="2" t="s">
        <v>178</v>
      </c>
      <c r="J21" s="2" t="s">
        <v>179</v>
      </c>
    </row>
    <row r="22" spans="7:10" x14ac:dyDescent="0.35">
      <c r="H22" s="2" t="s">
        <v>180</v>
      </c>
      <c r="I22" s="2" t="s">
        <v>181</v>
      </c>
      <c r="J22" s="2" t="s">
        <v>182</v>
      </c>
    </row>
    <row r="23" spans="7:10" ht="29" x14ac:dyDescent="0.35">
      <c r="H23" s="2" t="s">
        <v>183</v>
      </c>
      <c r="I23" s="2" t="s">
        <v>184</v>
      </c>
      <c r="J23" s="2" t="s">
        <v>185</v>
      </c>
    </row>
    <row r="24" spans="7:10" ht="43.5" x14ac:dyDescent="0.35">
      <c r="H24" s="2" t="s">
        <v>186</v>
      </c>
      <c r="I24" s="2" t="s">
        <v>187</v>
      </c>
      <c r="J24" s="2" t="s">
        <v>188</v>
      </c>
    </row>
    <row r="25" spans="7:10" ht="43.5" x14ac:dyDescent="0.35">
      <c r="H25" s="2" t="s">
        <v>189</v>
      </c>
      <c r="I25" s="2" t="s">
        <v>190</v>
      </c>
      <c r="J25" s="2" t="s">
        <v>191</v>
      </c>
    </row>
    <row r="26" spans="7:10" ht="29" x14ac:dyDescent="0.35">
      <c r="H26" s="2" t="s">
        <v>192</v>
      </c>
      <c r="I26" s="2" t="s">
        <v>193</v>
      </c>
      <c r="J26" s="2" t="s">
        <v>194</v>
      </c>
    </row>
    <row r="29" spans="7:10" x14ac:dyDescent="0.35">
      <c r="G29" s="27" t="s">
        <v>195</v>
      </c>
      <c r="H29" s="1" t="s">
        <v>137</v>
      </c>
      <c r="I29" s="1" t="s">
        <v>140</v>
      </c>
      <c r="J29" s="1" t="s">
        <v>141</v>
      </c>
    </row>
    <row r="30" spans="7:10" x14ac:dyDescent="0.35">
      <c r="G30" s="26">
        <v>21</v>
      </c>
      <c r="H30" s="2" t="s">
        <v>196</v>
      </c>
      <c r="I30" s="2" t="s">
        <v>197</v>
      </c>
      <c r="J30" s="2" t="s">
        <v>198</v>
      </c>
    </row>
    <row r="31" spans="7:10" x14ac:dyDescent="0.35">
      <c r="G31" s="26">
        <v>22</v>
      </c>
      <c r="H31" s="2" t="s">
        <v>199</v>
      </c>
      <c r="I31" s="2" t="s">
        <v>200</v>
      </c>
      <c r="J31" s="2" t="s">
        <v>201</v>
      </c>
    </row>
    <row r="32" spans="7:10" ht="43.5" x14ac:dyDescent="0.35">
      <c r="G32" s="26">
        <v>23</v>
      </c>
      <c r="H32" s="2" t="s">
        <v>202</v>
      </c>
      <c r="I32" s="2" t="s">
        <v>203</v>
      </c>
      <c r="J32" s="2" t="s">
        <v>204</v>
      </c>
    </row>
    <row r="33" spans="7:10" ht="29" x14ac:dyDescent="0.35">
      <c r="G33" s="26">
        <v>24</v>
      </c>
      <c r="H33" s="2" t="s">
        <v>205</v>
      </c>
      <c r="I33" s="2" t="s">
        <v>206</v>
      </c>
      <c r="J33" s="2" t="s">
        <v>207</v>
      </c>
    </row>
    <row r="34" spans="7:10" ht="29" x14ac:dyDescent="0.35">
      <c r="G34" s="26">
        <v>25</v>
      </c>
      <c r="H34" s="2" t="s">
        <v>208</v>
      </c>
      <c r="I34" s="2" t="s">
        <v>209</v>
      </c>
      <c r="J34" s="2" t="s">
        <v>210</v>
      </c>
    </row>
    <row r="35" spans="7:10" x14ac:dyDescent="0.35">
      <c r="G35" s="26"/>
      <c r="H35" s="2" t="s">
        <v>211</v>
      </c>
      <c r="I35" s="2" t="s">
        <v>212</v>
      </c>
      <c r="J35" s="2" t="s">
        <v>213</v>
      </c>
    </row>
    <row r="36" spans="7:10" x14ac:dyDescent="0.35">
      <c r="G36" s="26">
        <v>26</v>
      </c>
      <c r="H36" s="2" t="s">
        <v>214</v>
      </c>
      <c r="I36" s="2" t="s">
        <v>215</v>
      </c>
      <c r="J36" s="2" t="s">
        <v>216</v>
      </c>
    </row>
    <row r="37" spans="7:10" x14ac:dyDescent="0.35">
      <c r="G37" s="26"/>
      <c r="H37" s="2" t="s">
        <v>217</v>
      </c>
      <c r="I37" s="2" t="s">
        <v>218</v>
      </c>
      <c r="J37" s="2" t="s">
        <v>219</v>
      </c>
    </row>
    <row r="38" spans="7:10" x14ac:dyDescent="0.35">
      <c r="G38" s="26"/>
      <c r="H38" s="2" t="s">
        <v>220</v>
      </c>
      <c r="I38" s="2" t="s">
        <v>221</v>
      </c>
      <c r="J38" s="2" t="s">
        <v>222</v>
      </c>
    </row>
    <row r="39" spans="7:10" x14ac:dyDescent="0.35">
      <c r="G39" s="26">
        <v>27</v>
      </c>
      <c r="H39" s="2" t="s">
        <v>223</v>
      </c>
      <c r="I39" s="2" t="s">
        <v>145</v>
      </c>
      <c r="J39" s="2" t="s">
        <v>146</v>
      </c>
    </row>
    <row r="40" spans="7:10" x14ac:dyDescent="0.35">
      <c r="G40" s="26">
        <v>29</v>
      </c>
      <c r="H40" s="2" t="s">
        <v>220</v>
      </c>
      <c r="I40" s="2" t="s">
        <v>221</v>
      </c>
      <c r="J40" s="2" t="s">
        <v>222</v>
      </c>
    </row>
    <row r="41" spans="7:10" x14ac:dyDescent="0.35">
      <c r="G41" s="26">
        <v>30</v>
      </c>
      <c r="H41" s="2" t="s">
        <v>224</v>
      </c>
      <c r="I41" s="2" t="s">
        <v>145</v>
      </c>
      <c r="J41" s="2" t="s">
        <v>146</v>
      </c>
    </row>
    <row r="42" spans="7:10" x14ac:dyDescent="0.35">
      <c r="G42" s="26">
        <v>31</v>
      </c>
      <c r="H42" s="2" t="s">
        <v>225</v>
      </c>
      <c r="I42" s="2" t="s">
        <v>226</v>
      </c>
      <c r="J42" s="2" t="s">
        <v>227</v>
      </c>
    </row>
    <row r="43" spans="7:10" ht="29" x14ac:dyDescent="0.35">
      <c r="G43" s="26">
        <v>32</v>
      </c>
      <c r="H43" s="2" t="s">
        <v>228</v>
      </c>
      <c r="I43" s="2" t="s">
        <v>229</v>
      </c>
      <c r="J43" s="2" t="s">
        <v>230</v>
      </c>
    </row>
    <row r="44" spans="7:10" ht="43.5" x14ac:dyDescent="0.35">
      <c r="G44" s="26">
        <v>33</v>
      </c>
      <c r="H44" s="2" t="s">
        <v>231</v>
      </c>
      <c r="I44" s="2" t="s">
        <v>212</v>
      </c>
      <c r="J44" s="2" t="s">
        <v>232</v>
      </c>
    </row>
    <row r="45" spans="7:10" ht="29" x14ac:dyDescent="0.35">
      <c r="G45" s="26">
        <v>34</v>
      </c>
      <c r="H45" s="2" t="s">
        <v>233</v>
      </c>
      <c r="I45" s="2" t="s">
        <v>193</v>
      </c>
      <c r="J45" s="2" t="s">
        <v>194</v>
      </c>
    </row>
    <row r="46" spans="7:10" ht="29" x14ac:dyDescent="0.35">
      <c r="G46" s="26">
        <v>35</v>
      </c>
      <c r="H46" s="2" t="s">
        <v>234</v>
      </c>
      <c r="I46" s="2" t="s">
        <v>235</v>
      </c>
      <c r="J46" s="2" t="s">
        <v>236</v>
      </c>
    </row>
    <row r="47" spans="7:10" ht="43.5" x14ac:dyDescent="0.35">
      <c r="G47" s="26">
        <v>36</v>
      </c>
      <c r="H47" s="2" t="s">
        <v>237</v>
      </c>
      <c r="I47" s="2" t="s">
        <v>238</v>
      </c>
      <c r="J47" s="2" t="s">
        <v>239</v>
      </c>
    </row>
    <row r="48" spans="7:10" ht="43.5" x14ac:dyDescent="0.35">
      <c r="G48" s="26">
        <v>37</v>
      </c>
      <c r="H48" s="2" t="s">
        <v>240</v>
      </c>
      <c r="I48" s="2" t="s">
        <v>200</v>
      </c>
      <c r="J48" s="2" t="s">
        <v>201</v>
      </c>
    </row>
    <row r="50" spans="7:10" x14ac:dyDescent="0.35">
      <c r="G50" s="27" t="s">
        <v>195</v>
      </c>
      <c r="H50" s="1" t="s">
        <v>137</v>
      </c>
      <c r="I50" s="1" t="s">
        <v>140</v>
      </c>
      <c r="J50" s="1" t="s">
        <v>141</v>
      </c>
    </row>
    <row r="51" spans="7:10" ht="29" x14ac:dyDescent="0.35">
      <c r="G51" s="26">
        <v>38</v>
      </c>
      <c r="H51" s="2" t="s">
        <v>241</v>
      </c>
      <c r="I51" s="2" t="s">
        <v>242</v>
      </c>
      <c r="J51" s="2" t="s">
        <v>243</v>
      </c>
    </row>
    <row r="52" spans="7:10" ht="29" x14ac:dyDescent="0.35">
      <c r="G52" s="26">
        <v>39</v>
      </c>
      <c r="H52" s="2" t="s">
        <v>244</v>
      </c>
      <c r="I52" s="2" t="s">
        <v>218</v>
      </c>
      <c r="J52" s="2" t="s">
        <v>219</v>
      </c>
    </row>
    <row r="53" spans="7:10" x14ac:dyDescent="0.35">
      <c r="G53" s="26">
        <v>40</v>
      </c>
      <c r="H53" s="2" t="s">
        <v>245</v>
      </c>
      <c r="I53" s="2" t="s">
        <v>246</v>
      </c>
      <c r="J53" s="2" t="s">
        <v>247</v>
      </c>
    </row>
    <row r="54" spans="7:10" ht="29" x14ac:dyDescent="0.35">
      <c r="G54" s="26">
        <v>41</v>
      </c>
      <c r="H54" s="2" t="s">
        <v>248</v>
      </c>
      <c r="I54" s="2" t="s">
        <v>238</v>
      </c>
      <c r="J54" s="2" t="s">
        <v>239</v>
      </c>
    </row>
    <row r="55" spans="7:10" ht="29" x14ac:dyDescent="0.35">
      <c r="G55" s="26">
        <v>42</v>
      </c>
      <c r="H55" s="2" t="s">
        <v>249</v>
      </c>
      <c r="I55" s="2" t="s">
        <v>250</v>
      </c>
      <c r="J55" s="2" t="s">
        <v>251</v>
      </c>
    </row>
    <row r="56" spans="7:10" ht="43.5" x14ac:dyDescent="0.35">
      <c r="G56" s="26">
        <v>43</v>
      </c>
      <c r="H56" s="2" t="s">
        <v>252</v>
      </c>
      <c r="I56" s="2" t="s">
        <v>218</v>
      </c>
      <c r="J56" s="2" t="s">
        <v>219</v>
      </c>
    </row>
    <row r="57" spans="7:10" ht="43.5" x14ac:dyDescent="0.35">
      <c r="G57" s="26">
        <v>44</v>
      </c>
      <c r="H57" s="2" t="s">
        <v>253</v>
      </c>
      <c r="I57" s="2" t="s">
        <v>200</v>
      </c>
      <c r="J57" s="2" t="s">
        <v>201</v>
      </c>
    </row>
    <row r="58" spans="7:10" ht="29" x14ac:dyDescent="0.35">
      <c r="G58" s="26">
        <v>45</v>
      </c>
      <c r="H58" s="2" t="s">
        <v>254</v>
      </c>
      <c r="I58" s="2" t="s">
        <v>255</v>
      </c>
      <c r="J58" s="2" t="s">
        <v>255</v>
      </c>
    </row>
    <row r="59" spans="7:10" ht="29" x14ac:dyDescent="0.35">
      <c r="G59" s="26">
        <v>46</v>
      </c>
      <c r="H59" s="2" t="s">
        <v>256</v>
      </c>
      <c r="I59" s="2" t="s">
        <v>257</v>
      </c>
      <c r="J59" s="2" t="s">
        <v>257</v>
      </c>
    </row>
    <row r="60" spans="7:10" ht="29" x14ac:dyDescent="0.35">
      <c r="G60" s="26">
        <v>47</v>
      </c>
      <c r="H60" s="2" t="s">
        <v>258</v>
      </c>
      <c r="I60" s="2" t="s">
        <v>148</v>
      </c>
      <c r="J60" s="2" t="s">
        <v>149</v>
      </c>
    </row>
    <row r="61" spans="7:10" ht="29" x14ac:dyDescent="0.35">
      <c r="G61" s="26">
        <v>48</v>
      </c>
      <c r="H61" s="2" t="s">
        <v>259</v>
      </c>
      <c r="I61" s="2" t="s">
        <v>260</v>
      </c>
      <c r="J61" s="2" t="s">
        <v>255</v>
      </c>
    </row>
    <row r="62" spans="7:10" ht="29" x14ac:dyDescent="0.35">
      <c r="G62" s="26">
        <v>49</v>
      </c>
      <c r="H62" s="2" t="s">
        <v>261</v>
      </c>
      <c r="I62" s="2" t="s">
        <v>145</v>
      </c>
      <c r="J62" s="2" t="s">
        <v>146</v>
      </c>
    </row>
    <row r="63" spans="7:10" ht="43.5" x14ac:dyDescent="0.35">
      <c r="G63" s="26">
        <v>50</v>
      </c>
      <c r="H63" s="2" t="s">
        <v>262</v>
      </c>
      <c r="I63" s="2" t="s">
        <v>197</v>
      </c>
      <c r="J63" s="2" t="s">
        <v>198</v>
      </c>
    </row>
    <row r="64" spans="7:10" ht="29" x14ac:dyDescent="0.35">
      <c r="G64" s="26">
        <v>51</v>
      </c>
      <c r="H64" s="2" t="s">
        <v>263</v>
      </c>
      <c r="I64" s="2" t="s">
        <v>264</v>
      </c>
      <c r="J64" s="2" t="s">
        <v>265</v>
      </c>
    </row>
    <row r="65" spans="7:10" ht="29" x14ac:dyDescent="0.35">
      <c r="G65" s="26">
        <v>52</v>
      </c>
      <c r="H65" s="2" t="s">
        <v>266</v>
      </c>
      <c r="I65" s="2" t="s">
        <v>250</v>
      </c>
      <c r="J65" s="2" t="s">
        <v>251</v>
      </c>
    </row>
    <row r="66" spans="7:10" ht="43.5" x14ac:dyDescent="0.35">
      <c r="G66" s="26">
        <v>53</v>
      </c>
      <c r="H66" s="2" t="s">
        <v>267</v>
      </c>
      <c r="I66" s="2" t="s">
        <v>229</v>
      </c>
      <c r="J66" s="2" t="s">
        <v>230</v>
      </c>
    </row>
    <row r="67" spans="7:10" ht="43.5" x14ac:dyDescent="0.35">
      <c r="G67" s="26">
        <v>54</v>
      </c>
      <c r="H67" s="2" t="s">
        <v>268</v>
      </c>
      <c r="I67" s="2" t="s">
        <v>200</v>
      </c>
      <c r="J67" s="2" t="s">
        <v>201</v>
      </c>
    </row>
    <row r="68" spans="7:10" ht="43.5" x14ac:dyDescent="0.35">
      <c r="G68" s="26">
        <v>55</v>
      </c>
      <c r="H68" s="2" t="s">
        <v>269</v>
      </c>
      <c r="I68" s="2" t="s">
        <v>270</v>
      </c>
      <c r="J68" s="2" t="s">
        <v>271</v>
      </c>
    </row>
    <row r="69" spans="7:10" ht="29" x14ac:dyDescent="0.35">
      <c r="G69" s="26">
        <v>57</v>
      </c>
      <c r="H69" s="2" t="s">
        <v>272</v>
      </c>
      <c r="I69" s="2" t="s">
        <v>273</v>
      </c>
      <c r="J69" s="2" t="s">
        <v>274</v>
      </c>
    </row>
    <row r="70" spans="7:10" ht="29" x14ac:dyDescent="0.35">
      <c r="G70" s="26">
        <v>58</v>
      </c>
      <c r="H70" s="2" t="s">
        <v>275</v>
      </c>
      <c r="I70" s="2" t="s">
        <v>276</v>
      </c>
      <c r="J70" s="2" t="s">
        <v>277</v>
      </c>
    </row>
    <row r="71" spans="7:10" ht="43.5" x14ac:dyDescent="0.35">
      <c r="G71" s="26">
        <v>59</v>
      </c>
      <c r="H71" s="2" t="s">
        <v>278</v>
      </c>
      <c r="I71" s="2" t="s">
        <v>279</v>
      </c>
      <c r="J71" s="2" t="s">
        <v>280</v>
      </c>
    </row>
    <row r="72" spans="7:10" ht="43.5" x14ac:dyDescent="0.35">
      <c r="G72" s="26">
        <v>60</v>
      </c>
      <c r="H72" s="2" t="s">
        <v>281</v>
      </c>
      <c r="I72" s="2" t="s">
        <v>279</v>
      </c>
      <c r="J72" s="2" t="s">
        <v>280</v>
      </c>
    </row>
    <row r="73" spans="7:10" ht="43.5" x14ac:dyDescent="0.35">
      <c r="G73" s="26">
        <v>61</v>
      </c>
      <c r="H73" s="2" t="s">
        <v>282</v>
      </c>
      <c r="I73" s="2" t="s">
        <v>279</v>
      </c>
      <c r="J73" s="2" t="s">
        <v>280</v>
      </c>
    </row>
    <row r="74" spans="7:10" ht="43.5" x14ac:dyDescent="0.35">
      <c r="G74" s="26">
        <v>62</v>
      </c>
      <c r="H74" s="2" t="s">
        <v>283</v>
      </c>
      <c r="I74" s="2" t="s">
        <v>213</v>
      </c>
      <c r="J74" s="2" t="s">
        <v>284</v>
      </c>
    </row>
    <row r="75" spans="7:10" x14ac:dyDescent="0.35">
      <c r="G75" s="27" t="s">
        <v>195</v>
      </c>
      <c r="H75" s="1" t="s">
        <v>137</v>
      </c>
      <c r="I75" s="1" t="s">
        <v>140</v>
      </c>
      <c r="J75" s="1" t="s">
        <v>141</v>
      </c>
    </row>
    <row r="76" spans="7:10" ht="29" x14ac:dyDescent="0.35">
      <c r="G76" s="26">
        <v>63</v>
      </c>
      <c r="H76" s="2" t="s">
        <v>285</v>
      </c>
      <c r="I76" s="2" t="s">
        <v>286</v>
      </c>
      <c r="J76" s="2" t="s">
        <v>287</v>
      </c>
    </row>
    <row r="77" spans="7:10" ht="29" x14ac:dyDescent="0.35">
      <c r="G77" s="26">
        <v>64</v>
      </c>
      <c r="H77" s="2" t="s">
        <v>288</v>
      </c>
      <c r="I77" s="2" t="s">
        <v>235</v>
      </c>
      <c r="J77" s="2" t="s">
        <v>236</v>
      </c>
    </row>
    <row r="78" spans="7:10" ht="29" x14ac:dyDescent="0.35">
      <c r="G78" s="26">
        <v>65</v>
      </c>
      <c r="H78" s="2" t="s">
        <v>289</v>
      </c>
      <c r="I78" s="2" t="s">
        <v>203</v>
      </c>
      <c r="J78" s="2" t="s">
        <v>204</v>
      </c>
    </row>
    <row r="79" spans="7:10" ht="29" x14ac:dyDescent="0.35">
      <c r="G79" s="26">
        <v>66</v>
      </c>
      <c r="H79" s="2" t="s">
        <v>290</v>
      </c>
      <c r="I79" s="2" t="s">
        <v>291</v>
      </c>
      <c r="J79" s="2" t="s">
        <v>292</v>
      </c>
    </row>
    <row r="80" spans="7:10" ht="29" x14ac:dyDescent="0.35">
      <c r="G80" s="26">
        <v>67</v>
      </c>
      <c r="H80" s="2" t="s">
        <v>293</v>
      </c>
      <c r="I80" s="2" t="s">
        <v>294</v>
      </c>
      <c r="J80" s="2" t="s">
        <v>295</v>
      </c>
    </row>
    <row r="81" spans="7:10" ht="29" x14ac:dyDescent="0.35">
      <c r="G81" s="26">
        <v>68</v>
      </c>
      <c r="H81" s="2" t="s">
        <v>296</v>
      </c>
      <c r="I81" s="2" t="s">
        <v>250</v>
      </c>
      <c r="J81" s="2" t="s">
        <v>251</v>
      </c>
    </row>
    <row r="82" spans="7:10" ht="29" x14ac:dyDescent="0.35">
      <c r="G82" s="26">
        <v>69</v>
      </c>
      <c r="H82" s="2" t="s">
        <v>297</v>
      </c>
      <c r="I82" s="2" t="s">
        <v>298</v>
      </c>
      <c r="J82" s="2" t="s">
        <v>164</v>
      </c>
    </row>
    <row r="83" spans="7:10" ht="58" x14ac:dyDescent="0.35">
      <c r="G83" s="26">
        <v>70</v>
      </c>
      <c r="H83" s="2" t="s">
        <v>299</v>
      </c>
      <c r="I83" s="2" t="s">
        <v>200</v>
      </c>
      <c r="J83" s="2" t="s">
        <v>201</v>
      </c>
    </row>
    <row r="84" spans="7:10" x14ac:dyDescent="0.35">
      <c r="G84" s="26">
        <v>71</v>
      </c>
      <c r="H84" s="2" t="s">
        <v>300</v>
      </c>
      <c r="I84" s="2" t="s">
        <v>270</v>
      </c>
      <c r="J84" s="2" t="s">
        <v>271</v>
      </c>
    </row>
    <row r="85" spans="7:10" x14ac:dyDescent="0.35">
      <c r="G85" s="26">
        <v>72</v>
      </c>
      <c r="H85" s="2" t="s">
        <v>301</v>
      </c>
      <c r="I85" s="2" t="s">
        <v>175</v>
      </c>
      <c r="J85" s="2" t="s">
        <v>176</v>
      </c>
    </row>
    <row r="86" spans="7:10" ht="29" x14ac:dyDescent="0.35">
      <c r="G86" s="26">
        <v>73</v>
      </c>
      <c r="H86" s="2" t="s">
        <v>302</v>
      </c>
      <c r="I86" s="2" t="s">
        <v>218</v>
      </c>
      <c r="J86" s="2" t="s">
        <v>219</v>
      </c>
    </row>
    <row r="87" spans="7:10" ht="29" x14ac:dyDescent="0.35">
      <c r="G87" s="26">
        <v>74</v>
      </c>
      <c r="H87" s="2" t="s">
        <v>303</v>
      </c>
      <c r="I87" s="2" t="s">
        <v>304</v>
      </c>
      <c r="J87" s="2" t="s">
        <v>305</v>
      </c>
    </row>
    <row r="88" spans="7:10" ht="43.5" x14ac:dyDescent="0.35">
      <c r="G88" s="26">
        <v>75</v>
      </c>
      <c r="H88" s="2" t="s">
        <v>306</v>
      </c>
      <c r="I88" s="2" t="s">
        <v>145</v>
      </c>
      <c r="J88" s="2" t="s">
        <v>146</v>
      </c>
    </row>
    <row r="89" spans="7:10" ht="29" x14ac:dyDescent="0.35">
      <c r="G89" s="26">
        <v>76</v>
      </c>
      <c r="H89" s="2" t="s">
        <v>307</v>
      </c>
      <c r="I89" s="2" t="s">
        <v>145</v>
      </c>
      <c r="J89" s="2" t="s">
        <v>146</v>
      </c>
    </row>
    <row r="90" spans="7:10" ht="29" x14ac:dyDescent="0.35">
      <c r="G90" s="26">
        <v>77</v>
      </c>
      <c r="H90" s="2" t="s">
        <v>308</v>
      </c>
      <c r="I90" s="2" t="s">
        <v>229</v>
      </c>
      <c r="J90" s="2" t="s">
        <v>230</v>
      </c>
    </row>
    <row r="91" spans="7:10" ht="29" x14ac:dyDescent="0.35">
      <c r="G91" s="26">
        <v>78</v>
      </c>
      <c r="H91" s="2" t="s">
        <v>309</v>
      </c>
      <c r="I91" s="2" t="s">
        <v>238</v>
      </c>
      <c r="J91" s="2" t="s">
        <v>239</v>
      </c>
    </row>
    <row r="92" spans="7:10" ht="43.5" x14ac:dyDescent="0.35">
      <c r="G92" s="26">
        <v>79</v>
      </c>
      <c r="H92" s="2" t="s">
        <v>310</v>
      </c>
      <c r="I92" s="2" t="s">
        <v>270</v>
      </c>
      <c r="J92" s="2" t="s">
        <v>271</v>
      </c>
    </row>
    <row r="93" spans="7:10" ht="29" x14ac:dyDescent="0.35">
      <c r="G93" s="26">
        <v>80</v>
      </c>
      <c r="H93" s="2" t="s">
        <v>311</v>
      </c>
      <c r="I93" s="2" t="s">
        <v>312</v>
      </c>
      <c r="J93" s="2" t="s">
        <v>313</v>
      </c>
    </row>
    <row r="94" spans="7:10" ht="29" x14ac:dyDescent="0.35">
      <c r="G94" s="26">
        <v>81</v>
      </c>
      <c r="H94" s="2" t="s">
        <v>314</v>
      </c>
      <c r="I94" s="2" t="s">
        <v>315</v>
      </c>
      <c r="J94" s="2" t="s">
        <v>316</v>
      </c>
    </row>
    <row r="95" spans="7:10" ht="29" x14ac:dyDescent="0.35">
      <c r="G95" s="26">
        <v>82</v>
      </c>
      <c r="H95" s="2" t="s">
        <v>317</v>
      </c>
      <c r="I95" s="2" t="s">
        <v>318</v>
      </c>
      <c r="J95" s="2" t="s">
        <v>319</v>
      </c>
    </row>
    <row r="96" spans="7:10" ht="29" x14ac:dyDescent="0.35">
      <c r="G96" s="26">
        <v>83</v>
      </c>
      <c r="H96" s="2" t="s">
        <v>320</v>
      </c>
      <c r="I96" s="2" t="s">
        <v>321</v>
      </c>
      <c r="J96" s="2" t="s">
        <v>322</v>
      </c>
    </row>
    <row r="97" spans="7:10" ht="29" x14ac:dyDescent="0.35">
      <c r="G97" s="26">
        <v>84</v>
      </c>
      <c r="H97" s="2" t="s">
        <v>323</v>
      </c>
      <c r="I97" s="2" t="s">
        <v>324</v>
      </c>
      <c r="J97" s="2" t="s">
        <v>325</v>
      </c>
    </row>
    <row r="98" spans="7:10" ht="29" x14ac:dyDescent="0.35">
      <c r="G98" s="26">
        <v>85</v>
      </c>
      <c r="H98" s="2" t="s">
        <v>326</v>
      </c>
      <c r="I98" s="2" t="s">
        <v>327</v>
      </c>
      <c r="J98" s="2" t="s">
        <v>328</v>
      </c>
    </row>
    <row r="99" spans="7:10" ht="29" x14ac:dyDescent="0.35">
      <c r="G99" s="26">
        <v>86</v>
      </c>
      <c r="H99" s="2" t="s">
        <v>329</v>
      </c>
      <c r="I99" s="2" t="s">
        <v>330</v>
      </c>
      <c r="J99" s="2" t="s">
        <v>331</v>
      </c>
    </row>
    <row r="100" spans="7:10" x14ac:dyDescent="0.35">
      <c r="G100" s="26">
        <v>87</v>
      </c>
      <c r="H100" s="2" t="s">
        <v>332</v>
      </c>
      <c r="I100" s="2" t="s">
        <v>333</v>
      </c>
      <c r="J100" s="2" t="s">
        <v>334</v>
      </c>
    </row>
    <row r="101" spans="7:10" ht="29" x14ac:dyDescent="0.35">
      <c r="G101" s="26">
        <v>88</v>
      </c>
      <c r="H101" s="2" t="s">
        <v>335</v>
      </c>
      <c r="I101" s="2" t="s">
        <v>336</v>
      </c>
      <c r="J101" s="2" t="s">
        <v>337</v>
      </c>
    </row>
    <row r="102" spans="7:10" ht="43.5" x14ac:dyDescent="0.35">
      <c r="G102" s="26">
        <v>89</v>
      </c>
      <c r="H102" s="2" t="s">
        <v>338</v>
      </c>
      <c r="I102" s="2" t="s">
        <v>339</v>
      </c>
      <c r="J102" s="2" t="s">
        <v>340</v>
      </c>
    </row>
    <row r="103" spans="7:10" ht="29" x14ac:dyDescent="0.35">
      <c r="G103" s="26">
        <v>90</v>
      </c>
      <c r="H103" s="2" t="s">
        <v>341</v>
      </c>
      <c r="I103" s="2" t="s">
        <v>342</v>
      </c>
      <c r="J103" s="2" t="s">
        <v>343</v>
      </c>
    </row>
    <row r="104" spans="7:10" ht="29" x14ac:dyDescent="0.35">
      <c r="G104" s="26">
        <v>91</v>
      </c>
      <c r="H104" s="2" t="s">
        <v>344</v>
      </c>
      <c r="I104" s="2" t="s">
        <v>345</v>
      </c>
      <c r="J104" s="2" t="s">
        <v>346</v>
      </c>
    </row>
  </sheetData>
  <hyperlinks>
    <hyperlink ref="G1" r:id="rId1" display="https://farmech.bihar.gov.in/FMNEW/MechanizationImplementList2025_2026.pdf" xr:uid="{828AFDDE-8E32-4994-8705-3D6047200AE5}"/>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F7F19D-EDD1-41D3-8714-F829B21BB46E}">
  <sheetPr codeName="Sheet5"/>
  <dimension ref="A1:Q63"/>
  <sheetViews>
    <sheetView zoomScale="64" zoomScaleNormal="85" workbookViewId="0">
      <pane xSplit="3" ySplit="1" topLeftCell="D29" activePane="bottomRight" state="frozen"/>
      <selection pane="topRight" activeCell="D1" sqref="D1"/>
      <selection pane="bottomLeft" activeCell="A2" sqref="A2"/>
      <selection pane="bottomRight"/>
    </sheetView>
  </sheetViews>
  <sheetFormatPr defaultRowHeight="14.5" x14ac:dyDescent="0.35"/>
  <cols>
    <col min="1" max="1" width="8.453125" bestFit="1" customWidth="1"/>
    <col min="2" max="2" width="16.453125" bestFit="1" customWidth="1"/>
    <col min="3" max="3" width="28.7265625" bestFit="1" customWidth="1"/>
    <col min="4" max="4" width="10.54296875" bestFit="1" customWidth="1"/>
    <col min="5" max="12" width="13.7265625" customWidth="1"/>
  </cols>
  <sheetData>
    <row r="1" spans="1:17" x14ac:dyDescent="0.35">
      <c r="A1" s="4" t="s">
        <v>347</v>
      </c>
      <c r="B1" s="1" t="s">
        <v>348</v>
      </c>
      <c r="C1" s="1" t="s">
        <v>349</v>
      </c>
      <c r="D1" s="1" t="s">
        <v>350</v>
      </c>
      <c r="E1" s="1" t="s">
        <v>351</v>
      </c>
      <c r="F1" s="1" t="s">
        <v>19</v>
      </c>
      <c r="G1" s="1" t="s">
        <v>20</v>
      </c>
      <c r="H1" s="1" t="s">
        <v>352</v>
      </c>
      <c r="I1" s="1" t="s">
        <v>353</v>
      </c>
      <c r="J1" s="1" t="s">
        <v>354</v>
      </c>
      <c r="K1" s="1" t="s">
        <v>355</v>
      </c>
      <c r="L1" s="1" t="s">
        <v>356</v>
      </c>
      <c r="M1">
        <f>40</f>
        <v>40</v>
      </c>
      <c r="N1" s="1">
        <v>50</v>
      </c>
      <c r="O1" s="1">
        <v>60</v>
      </c>
      <c r="P1" s="1">
        <v>75</v>
      </c>
      <c r="Q1" t="s">
        <v>357</v>
      </c>
    </row>
    <row r="2" spans="1:17" x14ac:dyDescent="0.35">
      <c r="A2">
        <v>1</v>
      </c>
      <c r="B2" s="2" t="s">
        <v>358</v>
      </c>
      <c r="C2" s="2" t="s">
        <v>359</v>
      </c>
      <c r="D2" s="31">
        <v>0.4</v>
      </c>
      <c r="E2" s="31">
        <v>0.4</v>
      </c>
      <c r="F2" s="31">
        <v>0.4</v>
      </c>
      <c r="G2" s="31">
        <v>0.4</v>
      </c>
      <c r="H2" s="31">
        <v>0.4</v>
      </c>
      <c r="I2" s="7">
        <v>0.4</v>
      </c>
      <c r="J2" s="7">
        <v>0.5</v>
      </c>
      <c r="K2" s="7">
        <v>0.5</v>
      </c>
      <c r="L2" s="7">
        <v>0.5</v>
      </c>
      <c r="M2">
        <f>COUNTIF(D2:L2,"40%")</f>
        <v>6</v>
      </c>
      <c r="N2">
        <f>COUNTIF(D2:L2,"50%")</f>
        <v>3</v>
      </c>
      <c r="O2">
        <f>COUNTIF(D2:L2,"60%")</f>
        <v>0</v>
      </c>
      <c r="P2">
        <f>COUNTIF(D2:L2,"75%")</f>
        <v>0</v>
      </c>
      <c r="Q2">
        <f>SUM(M2:P2)</f>
        <v>9</v>
      </c>
    </row>
    <row r="3" spans="1:17" x14ac:dyDescent="0.35">
      <c r="A3">
        <v>1</v>
      </c>
      <c r="B3" s="2" t="s">
        <v>358</v>
      </c>
      <c r="C3" s="2" t="s">
        <v>360</v>
      </c>
      <c r="D3" s="31">
        <v>0.4</v>
      </c>
      <c r="E3" s="2"/>
      <c r="F3" s="31">
        <v>0.4</v>
      </c>
      <c r="G3" s="2"/>
      <c r="H3" s="2"/>
      <c r="I3" s="7">
        <v>0.4</v>
      </c>
      <c r="J3" s="7">
        <v>0.5</v>
      </c>
      <c r="K3" s="7"/>
      <c r="L3" s="7"/>
      <c r="M3">
        <f t="shared" ref="M3:M57" si="0">COUNTIF(D3:L3,"40%")</f>
        <v>3</v>
      </c>
      <c r="N3">
        <f t="shared" ref="N3:N57" si="1">COUNTIF(D3:L3,"50%")</f>
        <v>1</v>
      </c>
      <c r="O3">
        <f t="shared" ref="O3:O57" si="2">COUNTIF(D3:L3,"60%")</f>
        <v>0</v>
      </c>
      <c r="P3">
        <f t="shared" ref="P3:P57" si="3">COUNTIF(D3:L3,"75%")</f>
        <v>0</v>
      </c>
      <c r="Q3">
        <f t="shared" ref="Q3:Q57" si="4">SUM(M3:P3)</f>
        <v>4</v>
      </c>
    </row>
    <row r="4" spans="1:17" x14ac:dyDescent="0.35">
      <c r="A4">
        <v>1</v>
      </c>
      <c r="B4" s="2" t="s">
        <v>358</v>
      </c>
      <c r="C4" s="2" t="s">
        <v>361</v>
      </c>
      <c r="D4" s="31">
        <v>0.4</v>
      </c>
      <c r="E4" s="2"/>
      <c r="F4" s="2"/>
      <c r="G4" s="2"/>
      <c r="H4" s="2"/>
      <c r="I4" s="7">
        <v>0.4</v>
      </c>
      <c r="J4" s="7">
        <v>0.5</v>
      </c>
      <c r="K4" s="7"/>
      <c r="L4" s="7"/>
      <c r="M4">
        <f t="shared" si="0"/>
        <v>2</v>
      </c>
      <c r="N4">
        <f t="shared" si="1"/>
        <v>1</v>
      </c>
      <c r="O4">
        <f t="shared" si="2"/>
        <v>0</v>
      </c>
      <c r="P4">
        <f t="shared" si="3"/>
        <v>0</v>
      </c>
      <c r="Q4">
        <f t="shared" si="4"/>
        <v>3</v>
      </c>
    </row>
    <row r="5" spans="1:17" x14ac:dyDescent="0.35">
      <c r="A5">
        <v>1</v>
      </c>
      <c r="B5" s="2" t="s">
        <v>358</v>
      </c>
      <c r="C5" s="2" t="s">
        <v>211</v>
      </c>
      <c r="D5" s="31">
        <v>0.4</v>
      </c>
      <c r="E5" s="2"/>
      <c r="F5" s="2"/>
      <c r="G5" s="2"/>
      <c r="H5" s="2"/>
      <c r="I5" s="7">
        <v>0.4</v>
      </c>
      <c r="J5" s="7">
        <v>0.5</v>
      </c>
      <c r="K5" s="7"/>
      <c r="L5" s="7"/>
      <c r="M5">
        <f t="shared" si="0"/>
        <v>2</v>
      </c>
      <c r="N5">
        <f t="shared" si="1"/>
        <v>1</v>
      </c>
      <c r="O5">
        <f t="shared" si="2"/>
        <v>0</v>
      </c>
      <c r="P5">
        <f t="shared" si="3"/>
        <v>0</v>
      </c>
      <c r="Q5">
        <f t="shared" si="4"/>
        <v>3</v>
      </c>
    </row>
    <row r="6" spans="1:17" x14ac:dyDescent="0.35">
      <c r="A6">
        <v>1</v>
      </c>
      <c r="B6" s="2" t="s">
        <v>358</v>
      </c>
      <c r="C6" s="2" t="s">
        <v>362</v>
      </c>
      <c r="D6" s="31"/>
      <c r="E6" s="2"/>
      <c r="F6" s="2"/>
      <c r="G6" s="2"/>
      <c r="H6" s="2"/>
      <c r="I6" s="7">
        <v>0.4</v>
      </c>
      <c r="J6" s="7">
        <v>0.5</v>
      </c>
      <c r="K6" s="7"/>
      <c r="L6" s="7"/>
      <c r="M6">
        <f t="shared" si="0"/>
        <v>1</v>
      </c>
      <c r="N6">
        <f t="shared" si="1"/>
        <v>1</v>
      </c>
      <c r="O6">
        <f t="shared" si="2"/>
        <v>0</v>
      </c>
      <c r="P6">
        <f t="shared" si="3"/>
        <v>0</v>
      </c>
      <c r="Q6">
        <f t="shared" si="4"/>
        <v>2</v>
      </c>
    </row>
    <row r="7" spans="1:17" x14ac:dyDescent="0.35">
      <c r="A7">
        <v>1</v>
      </c>
      <c r="B7" s="2" t="s">
        <v>358</v>
      </c>
      <c r="C7" s="2" t="s">
        <v>214</v>
      </c>
      <c r="D7" s="31">
        <v>0.4</v>
      </c>
      <c r="E7" s="31">
        <v>0.4</v>
      </c>
      <c r="F7" s="31">
        <v>0.4</v>
      </c>
      <c r="G7" s="2"/>
      <c r="H7" s="2"/>
      <c r="I7" s="7">
        <v>0.4</v>
      </c>
      <c r="J7" s="7">
        <v>0.5</v>
      </c>
      <c r="K7" s="7"/>
      <c r="L7" s="7">
        <v>0.5</v>
      </c>
      <c r="M7">
        <f t="shared" si="0"/>
        <v>4</v>
      </c>
      <c r="N7">
        <f t="shared" si="1"/>
        <v>2</v>
      </c>
      <c r="O7">
        <f t="shared" si="2"/>
        <v>0</v>
      </c>
      <c r="P7">
        <f t="shared" si="3"/>
        <v>0</v>
      </c>
      <c r="Q7">
        <f t="shared" si="4"/>
        <v>6</v>
      </c>
    </row>
    <row r="8" spans="1:17" x14ac:dyDescent="0.35">
      <c r="A8">
        <v>1</v>
      </c>
      <c r="B8" s="2" t="s">
        <v>358</v>
      </c>
      <c r="C8" s="2" t="s">
        <v>363</v>
      </c>
      <c r="D8" s="31">
        <v>0.4</v>
      </c>
      <c r="E8" s="2"/>
      <c r="F8" s="2"/>
      <c r="G8" s="2"/>
      <c r="H8" s="2"/>
      <c r="M8">
        <f t="shared" si="0"/>
        <v>1</v>
      </c>
      <c r="N8">
        <f t="shared" si="1"/>
        <v>0</v>
      </c>
      <c r="O8">
        <f t="shared" si="2"/>
        <v>0</v>
      </c>
      <c r="P8">
        <f t="shared" si="3"/>
        <v>0</v>
      </c>
      <c r="Q8">
        <f t="shared" si="4"/>
        <v>1</v>
      </c>
    </row>
    <row r="9" spans="1:17" x14ac:dyDescent="0.35">
      <c r="A9">
        <v>1</v>
      </c>
      <c r="B9" s="2" t="s">
        <v>358</v>
      </c>
      <c r="C9" s="2" t="s">
        <v>220</v>
      </c>
      <c r="D9" s="31">
        <v>0.4</v>
      </c>
      <c r="E9" s="31">
        <v>0.4</v>
      </c>
      <c r="F9" s="31">
        <v>0.4</v>
      </c>
      <c r="G9" s="31">
        <v>0.4</v>
      </c>
      <c r="H9" s="2"/>
      <c r="M9">
        <f t="shared" si="0"/>
        <v>4</v>
      </c>
      <c r="N9">
        <f t="shared" si="1"/>
        <v>0</v>
      </c>
      <c r="O9">
        <f t="shared" si="2"/>
        <v>0</v>
      </c>
      <c r="P9">
        <f t="shared" si="3"/>
        <v>0</v>
      </c>
      <c r="Q9">
        <f t="shared" si="4"/>
        <v>4</v>
      </c>
    </row>
    <row r="10" spans="1:17" x14ac:dyDescent="0.35">
      <c r="A10">
        <v>1</v>
      </c>
      <c r="B10" s="2" t="s">
        <v>358</v>
      </c>
      <c r="C10" s="2" t="s">
        <v>364</v>
      </c>
      <c r="D10" s="31">
        <v>0.4</v>
      </c>
      <c r="E10" s="31">
        <v>0.4</v>
      </c>
      <c r="F10" s="2"/>
      <c r="G10" s="31">
        <v>0.4</v>
      </c>
      <c r="H10" s="2"/>
      <c r="M10">
        <f t="shared" si="0"/>
        <v>3</v>
      </c>
      <c r="N10">
        <f t="shared" si="1"/>
        <v>0</v>
      </c>
      <c r="O10">
        <f t="shared" si="2"/>
        <v>0</v>
      </c>
      <c r="P10">
        <f t="shared" si="3"/>
        <v>0</v>
      </c>
      <c r="Q10">
        <f t="shared" si="4"/>
        <v>3</v>
      </c>
    </row>
    <row r="11" spans="1:17" x14ac:dyDescent="0.35">
      <c r="A11">
        <v>1</v>
      </c>
      <c r="B11" s="2" t="s">
        <v>358</v>
      </c>
      <c r="C11" s="2" t="s">
        <v>365</v>
      </c>
      <c r="D11" s="31">
        <v>0.4</v>
      </c>
      <c r="E11" s="2"/>
      <c r="F11" s="31">
        <v>0.4</v>
      </c>
      <c r="G11" s="2"/>
      <c r="H11" s="2"/>
      <c r="I11" s="7">
        <v>0.4</v>
      </c>
      <c r="M11">
        <f t="shared" si="0"/>
        <v>3</v>
      </c>
      <c r="N11">
        <f t="shared" si="1"/>
        <v>0</v>
      </c>
      <c r="O11">
        <f t="shared" si="2"/>
        <v>0</v>
      </c>
      <c r="P11">
        <f t="shared" si="3"/>
        <v>0</v>
      </c>
      <c r="Q11">
        <f t="shared" si="4"/>
        <v>3</v>
      </c>
    </row>
    <row r="12" spans="1:17" x14ac:dyDescent="0.35">
      <c r="A12">
        <v>1</v>
      </c>
      <c r="B12" s="2" t="s">
        <v>358</v>
      </c>
      <c r="C12" s="2" t="s">
        <v>366</v>
      </c>
      <c r="D12" s="31">
        <v>0.4</v>
      </c>
      <c r="E12" s="2"/>
      <c r="F12" s="2"/>
      <c r="G12" s="2"/>
      <c r="H12" s="31">
        <v>0.4</v>
      </c>
      <c r="I12" s="7">
        <v>0.4</v>
      </c>
      <c r="L12" s="7">
        <v>0.5</v>
      </c>
      <c r="M12">
        <f t="shared" si="0"/>
        <v>3</v>
      </c>
      <c r="N12">
        <f t="shared" si="1"/>
        <v>1</v>
      </c>
      <c r="O12">
        <f t="shared" si="2"/>
        <v>0</v>
      </c>
      <c r="P12">
        <f t="shared" si="3"/>
        <v>0</v>
      </c>
      <c r="Q12">
        <f t="shared" si="4"/>
        <v>4</v>
      </c>
    </row>
    <row r="13" spans="1:17" x14ac:dyDescent="0.35">
      <c r="A13">
        <v>1</v>
      </c>
      <c r="B13" s="2" t="s">
        <v>358</v>
      </c>
      <c r="C13" s="2" t="s">
        <v>367</v>
      </c>
      <c r="D13" s="31">
        <v>0.4</v>
      </c>
      <c r="E13" s="2"/>
      <c r="F13" s="2"/>
      <c r="G13" s="2"/>
      <c r="H13" s="2"/>
      <c r="I13" s="7">
        <v>0.4</v>
      </c>
      <c r="M13">
        <f t="shared" si="0"/>
        <v>2</v>
      </c>
      <c r="N13">
        <f t="shared" si="1"/>
        <v>0</v>
      </c>
      <c r="O13">
        <f t="shared" si="2"/>
        <v>0</v>
      </c>
      <c r="P13">
        <f t="shared" si="3"/>
        <v>0</v>
      </c>
      <c r="Q13">
        <f t="shared" si="4"/>
        <v>2</v>
      </c>
    </row>
    <row r="14" spans="1:17" x14ac:dyDescent="0.35">
      <c r="A14">
        <v>1</v>
      </c>
      <c r="B14" s="2" t="s">
        <v>358</v>
      </c>
      <c r="C14" s="2" t="s">
        <v>368</v>
      </c>
      <c r="D14" s="2"/>
      <c r="E14" s="2"/>
      <c r="F14" s="31">
        <v>0.4</v>
      </c>
      <c r="G14" s="2"/>
      <c r="H14" s="2"/>
      <c r="I14" s="7"/>
      <c r="M14">
        <f t="shared" si="0"/>
        <v>1</v>
      </c>
      <c r="N14">
        <f t="shared" si="1"/>
        <v>0</v>
      </c>
      <c r="O14">
        <f t="shared" si="2"/>
        <v>0</v>
      </c>
      <c r="P14">
        <f t="shared" si="3"/>
        <v>0</v>
      </c>
      <c r="Q14">
        <f t="shared" si="4"/>
        <v>1</v>
      </c>
    </row>
    <row r="15" spans="1:17" x14ac:dyDescent="0.35">
      <c r="A15">
        <v>2</v>
      </c>
      <c r="B15" s="2" t="s">
        <v>369</v>
      </c>
      <c r="C15" s="2" t="s">
        <v>370</v>
      </c>
      <c r="D15" s="2"/>
      <c r="E15" s="2"/>
      <c r="F15" s="2"/>
      <c r="G15" s="2"/>
      <c r="H15" s="2"/>
      <c r="I15" s="7">
        <v>0.4</v>
      </c>
      <c r="J15" s="7">
        <v>0.5</v>
      </c>
      <c r="K15" s="7"/>
      <c r="L15" s="7"/>
      <c r="M15">
        <f t="shared" si="0"/>
        <v>1</v>
      </c>
      <c r="N15">
        <f t="shared" si="1"/>
        <v>1</v>
      </c>
      <c r="O15">
        <f t="shared" si="2"/>
        <v>0</v>
      </c>
      <c r="P15">
        <f t="shared" si="3"/>
        <v>0</v>
      </c>
      <c r="Q15">
        <f t="shared" si="4"/>
        <v>2</v>
      </c>
    </row>
    <row r="16" spans="1:17" x14ac:dyDescent="0.35">
      <c r="A16">
        <v>2</v>
      </c>
      <c r="B16" s="2" t="s">
        <v>369</v>
      </c>
      <c r="C16" s="2" t="s">
        <v>371</v>
      </c>
      <c r="D16" s="31">
        <v>0.4</v>
      </c>
      <c r="E16" s="31">
        <v>0.4</v>
      </c>
      <c r="F16" s="31">
        <v>0.4</v>
      </c>
      <c r="G16" s="2"/>
      <c r="H16" s="2"/>
      <c r="I16" s="7">
        <v>0.4</v>
      </c>
      <c r="M16">
        <f t="shared" si="0"/>
        <v>4</v>
      </c>
      <c r="N16">
        <f t="shared" si="1"/>
        <v>0</v>
      </c>
      <c r="O16">
        <f t="shared" si="2"/>
        <v>0</v>
      </c>
      <c r="P16">
        <f t="shared" si="3"/>
        <v>0</v>
      </c>
      <c r="Q16">
        <f t="shared" si="4"/>
        <v>4</v>
      </c>
    </row>
    <row r="17" spans="1:17" x14ac:dyDescent="0.35">
      <c r="A17">
        <v>2</v>
      </c>
      <c r="B17" s="2" t="s">
        <v>369</v>
      </c>
      <c r="C17" s="2" t="s">
        <v>372</v>
      </c>
      <c r="D17" s="31">
        <v>0.75</v>
      </c>
      <c r="E17" s="31">
        <v>0.4</v>
      </c>
      <c r="F17" s="31">
        <v>0.4</v>
      </c>
      <c r="G17" s="2"/>
      <c r="H17" s="2"/>
      <c r="I17" s="7">
        <v>0.4</v>
      </c>
      <c r="M17">
        <f t="shared" si="0"/>
        <v>3</v>
      </c>
      <c r="N17">
        <f t="shared" si="1"/>
        <v>0</v>
      </c>
      <c r="O17">
        <f t="shared" si="2"/>
        <v>0</v>
      </c>
      <c r="P17">
        <f t="shared" si="3"/>
        <v>1</v>
      </c>
      <c r="Q17">
        <f t="shared" si="4"/>
        <v>4</v>
      </c>
    </row>
    <row r="18" spans="1:17" x14ac:dyDescent="0.35">
      <c r="A18">
        <v>2</v>
      </c>
      <c r="B18" s="2" t="s">
        <v>369</v>
      </c>
      <c r="C18" s="2" t="s">
        <v>7</v>
      </c>
      <c r="D18" s="31">
        <v>0.75</v>
      </c>
      <c r="E18" s="2"/>
      <c r="F18" s="31">
        <v>0.4</v>
      </c>
      <c r="G18" s="2"/>
      <c r="H18" s="2"/>
      <c r="I18" s="7">
        <v>0.4</v>
      </c>
      <c r="L18" s="7">
        <v>0.5</v>
      </c>
      <c r="M18">
        <f t="shared" si="0"/>
        <v>2</v>
      </c>
      <c r="N18">
        <f t="shared" si="1"/>
        <v>1</v>
      </c>
      <c r="O18">
        <f t="shared" si="2"/>
        <v>0</v>
      </c>
      <c r="P18">
        <f t="shared" si="3"/>
        <v>1</v>
      </c>
      <c r="Q18">
        <f t="shared" si="4"/>
        <v>4</v>
      </c>
    </row>
    <row r="19" spans="1:17" x14ac:dyDescent="0.35">
      <c r="A19">
        <v>2</v>
      </c>
      <c r="B19" s="2" t="s">
        <v>369</v>
      </c>
      <c r="C19" s="2" t="s">
        <v>223</v>
      </c>
      <c r="D19" s="31">
        <v>0.4</v>
      </c>
      <c r="E19" s="31">
        <v>0.4</v>
      </c>
      <c r="F19" s="31">
        <v>0.4</v>
      </c>
      <c r="G19" s="31">
        <v>0.4</v>
      </c>
      <c r="H19" s="2"/>
      <c r="M19">
        <f t="shared" si="0"/>
        <v>4</v>
      </c>
      <c r="N19">
        <f t="shared" si="1"/>
        <v>0</v>
      </c>
      <c r="O19">
        <f t="shared" si="2"/>
        <v>0</v>
      </c>
      <c r="P19">
        <f t="shared" si="3"/>
        <v>0</v>
      </c>
      <c r="Q19">
        <f t="shared" si="4"/>
        <v>4</v>
      </c>
    </row>
    <row r="20" spans="1:17" x14ac:dyDescent="0.35">
      <c r="A20">
        <v>2</v>
      </c>
      <c r="B20" s="2" t="s">
        <v>369</v>
      </c>
      <c r="C20" s="2" t="s">
        <v>199</v>
      </c>
      <c r="D20" s="31">
        <v>0.4</v>
      </c>
      <c r="E20" s="2"/>
      <c r="F20" s="31">
        <v>0.4</v>
      </c>
      <c r="G20" s="31">
        <v>0.4</v>
      </c>
      <c r="H20" s="2"/>
      <c r="J20" s="7"/>
      <c r="M20">
        <f t="shared" si="0"/>
        <v>3</v>
      </c>
      <c r="N20">
        <f t="shared" si="1"/>
        <v>0</v>
      </c>
      <c r="O20">
        <f t="shared" si="2"/>
        <v>0</v>
      </c>
      <c r="P20">
        <f t="shared" si="3"/>
        <v>0</v>
      </c>
      <c r="Q20">
        <f t="shared" si="4"/>
        <v>3</v>
      </c>
    </row>
    <row r="21" spans="1:17" x14ac:dyDescent="0.35">
      <c r="A21">
        <v>2</v>
      </c>
      <c r="B21" s="2" t="s">
        <v>369</v>
      </c>
      <c r="C21" s="2" t="s">
        <v>373</v>
      </c>
      <c r="D21" s="31">
        <v>0.4</v>
      </c>
      <c r="E21" s="2"/>
      <c r="F21" s="2"/>
      <c r="G21" s="2"/>
      <c r="H21" s="2"/>
      <c r="M21">
        <f t="shared" si="0"/>
        <v>1</v>
      </c>
      <c r="N21">
        <f t="shared" si="1"/>
        <v>0</v>
      </c>
      <c r="O21">
        <f t="shared" si="2"/>
        <v>0</v>
      </c>
      <c r="P21">
        <f t="shared" si="3"/>
        <v>0</v>
      </c>
      <c r="Q21">
        <f t="shared" si="4"/>
        <v>1</v>
      </c>
    </row>
    <row r="22" spans="1:17" x14ac:dyDescent="0.35">
      <c r="A22">
        <v>2</v>
      </c>
      <c r="B22" s="2" t="s">
        <v>369</v>
      </c>
      <c r="C22" s="2" t="s">
        <v>224</v>
      </c>
      <c r="D22" s="31">
        <v>0.4</v>
      </c>
      <c r="E22" s="2"/>
      <c r="F22" s="2"/>
      <c r="G22" s="2"/>
      <c r="H22" s="2"/>
      <c r="M22">
        <f t="shared" si="0"/>
        <v>1</v>
      </c>
      <c r="N22">
        <f t="shared" si="1"/>
        <v>0</v>
      </c>
      <c r="O22">
        <f t="shared" si="2"/>
        <v>0</v>
      </c>
      <c r="P22">
        <f t="shared" si="3"/>
        <v>0</v>
      </c>
      <c r="Q22">
        <f t="shared" si="4"/>
        <v>1</v>
      </c>
    </row>
    <row r="23" spans="1:17" x14ac:dyDescent="0.35">
      <c r="A23">
        <v>2</v>
      </c>
      <c r="B23" s="2" t="s">
        <v>369</v>
      </c>
      <c r="C23" s="2" t="s">
        <v>374</v>
      </c>
      <c r="D23" s="31">
        <v>0.4</v>
      </c>
      <c r="E23" s="2"/>
      <c r="F23" s="2"/>
      <c r="G23" s="31">
        <v>0.4</v>
      </c>
      <c r="H23" s="2"/>
      <c r="L23" s="7">
        <v>0.5</v>
      </c>
      <c r="M23">
        <f t="shared" si="0"/>
        <v>2</v>
      </c>
      <c r="N23">
        <f t="shared" si="1"/>
        <v>1</v>
      </c>
      <c r="O23">
        <f t="shared" si="2"/>
        <v>0</v>
      </c>
      <c r="P23">
        <f t="shared" si="3"/>
        <v>0</v>
      </c>
      <c r="Q23">
        <f t="shared" si="4"/>
        <v>3</v>
      </c>
    </row>
    <row r="24" spans="1:17" x14ac:dyDescent="0.35">
      <c r="A24">
        <v>2</v>
      </c>
      <c r="B24" s="2" t="s">
        <v>369</v>
      </c>
      <c r="C24" s="2" t="s">
        <v>375</v>
      </c>
      <c r="D24" s="31">
        <v>0.4</v>
      </c>
      <c r="E24" s="31">
        <v>0.4</v>
      </c>
      <c r="F24" s="31">
        <v>0.4</v>
      </c>
      <c r="G24" s="31">
        <v>0.4</v>
      </c>
      <c r="H24" s="2"/>
      <c r="I24" s="7">
        <v>0.4</v>
      </c>
      <c r="J24" s="7">
        <v>0.5</v>
      </c>
      <c r="K24" s="7"/>
      <c r="L24" s="7"/>
      <c r="M24">
        <f t="shared" si="0"/>
        <v>5</v>
      </c>
      <c r="N24">
        <f t="shared" si="1"/>
        <v>1</v>
      </c>
      <c r="O24">
        <f t="shared" si="2"/>
        <v>0</v>
      </c>
      <c r="P24">
        <f t="shared" si="3"/>
        <v>0</v>
      </c>
      <c r="Q24">
        <f t="shared" si="4"/>
        <v>6</v>
      </c>
    </row>
    <row r="25" spans="1:17" x14ac:dyDescent="0.35">
      <c r="A25">
        <v>2</v>
      </c>
      <c r="B25" s="2" t="s">
        <v>369</v>
      </c>
      <c r="C25" s="2" t="s">
        <v>376</v>
      </c>
      <c r="D25" s="31">
        <v>0.4</v>
      </c>
      <c r="E25" s="2"/>
      <c r="F25" s="2"/>
      <c r="G25" s="31">
        <v>0.4</v>
      </c>
      <c r="H25" s="31">
        <v>0.4</v>
      </c>
      <c r="J25" s="7">
        <v>0.5</v>
      </c>
      <c r="K25" s="7"/>
      <c r="L25" s="7"/>
      <c r="M25">
        <f t="shared" si="0"/>
        <v>3</v>
      </c>
      <c r="N25">
        <f t="shared" si="1"/>
        <v>1</v>
      </c>
      <c r="O25">
        <f t="shared" si="2"/>
        <v>0</v>
      </c>
      <c r="P25">
        <f t="shared" si="3"/>
        <v>0</v>
      </c>
      <c r="Q25">
        <f t="shared" si="4"/>
        <v>4</v>
      </c>
    </row>
    <row r="26" spans="1:17" x14ac:dyDescent="0.35">
      <c r="A26">
        <v>2</v>
      </c>
      <c r="B26" s="2" t="s">
        <v>369</v>
      </c>
      <c r="C26" s="2" t="s">
        <v>377</v>
      </c>
      <c r="D26" s="31">
        <v>0.4</v>
      </c>
      <c r="E26" s="31">
        <v>0.4</v>
      </c>
      <c r="F26" s="31">
        <v>0.4</v>
      </c>
      <c r="G26" s="31">
        <v>0.4</v>
      </c>
      <c r="H26" s="2"/>
      <c r="L26" s="7">
        <v>0.5</v>
      </c>
      <c r="M26">
        <f t="shared" si="0"/>
        <v>4</v>
      </c>
      <c r="N26">
        <f t="shared" si="1"/>
        <v>1</v>
      </c>
      <c r="O26">
        <f t="shared" si="2"/>
        <v>0</v>
      </c>
      <c r="P26">
        <f t="shared" si="3"/>
        <v>0</v>
      </c>
      <c r="Q26">
        <f t="shared" si="4"/>
        <v>5</v>
      </c>
    </row>
    <row r="27" spans="1:17" x14ac:dyDescent="0.35">
      <c r="A27">
        <v>3</v>
      </c>
      <c r="B27" s="2" t="s">
        <v>378</v>
      </c>
      <c r="C27" s="2" t="s">
        <v>379</v>
      </c>
      <c r="D27" s="2"/>
      <c r="E27" s="31">
        <v>0.4</v>
      </c>
      <c r="F27" s="31">
        <v>0.4</v>
      </c>
      <c r="G27" s="31">
        <v>0.4</v>
      </c>
      <c r="H27" s="2"/>
      <c r="M27">
        <f t="shared" si="0"/>
        <v>3</v>
      </c>
      <c r="N27">
        <f t="shared" si="1"/>
        <v>0</v>
      </c>
      <c r="O27">
        <f t="shared" si="2"/>
        <v>0</v>
      </c>
      <c r="P27">
        <f t="shared" si="3"/>
        <v>0</v>
      </c>
      <c r="Q27">
        <f t="shared" si="4"/>
        <v>3</v>
      </c>
    </row>
    <row r="28" spans="1:17" x14ac:dyDescent="0.35">
      <c r="A28">
        <v>3</v>
      </c>
      <c r="B28" s="2" t="s">
        <v>378</v>
      </c>
      <c r="C28" s="2" t="s">
        <v>380</v>
      </c>
      <c r="D28" s="2"/>
      <c r="E28" s="31">
        <v>0.4</v>
      </c>
      <c r="F28" s="2"/>
      <c r="G28" s="31">
        <v>0.4</v>
      </c>
      <c r="H28" s="2"/>
      <c r="M28">
        <f t="shared" si="0"/>
        <v>2</v>
      </c>
      <c r="N28">
        <f t="shared" si="1"/>
        <v>0</v>
      </c>
      <c r="O28">
        <f t="shared" si="2"/>
        <v>0</v>
      </c>
      <c r="P28">
        <f t="shared" si="3"/>
        <v>0</v>
      </c>
      <c r="Q28">
        <f t="shared" si="4"/>
        <v>2</v>
      </c>
    </row>
    <row r="29" spans="1:17" x14ac:dyDescent="0.35">
      <c r="A29">
        <v>3</v>
      </c>
      <c r="B29" s="2" t="s">
        <v>378</v>
      </c>
      <c r="C29" s="2" t="s">
        <v>381</v>
      </c>
      <c r="D29" s="2"/>
      <c r="E29" s="31">
        <v>0.4</v>
      </c>
      <c r="F29" s="2"/>
      <c r="G29" s="2"/>
      <c r="H29" s="2"/>
      <c r="M29">
        <f t="shared" si="0"/>
        <v>1</v>
      </c>
      <c r="N29">
        <f t="shared" si="1"/>
        <v>0</v>
      </c>
      <c r="O29">
        <f t="shared" si="2"/>
        <v>0</v>
      </c>
      <c r="P29">
        <f t="shared" si="3"/>
        <v>0</v>
      </c>
      <c r="Q29">
        <f t="shared" si="4"/>
        <v>1</v>
      </c>
    </row>
    <row r="30" spans="1:17" x14ac:dyDescent="0.35">
      <c r="A30">
        <v>3</v>
      </c>
      <c r="B30" s="2" t="s">
        <v>378</v>
      </c>
      <c r="C30" s="2" t="s">
        <v>382</v>
      </c>
      <c r="D30" s="31">
        <v>0.4</v>
      </c>
      <c r="E30" s="2"/>
      <c r="F30" s="31">
        <v>0.4</v>
      </c>
      <c r="G30" s="31">
        <v>0.4</v>
      </c>
      <c r="H30" s="31">
        <v>0.4</v>
      </c>
      <c r="J30" s="7"/>
      <c r="M30">
        <f t="shared" si="0"/>
        <v>4</v>
      </c>
      <c r="N30">
        <f t="shared" si="1"/>
        <v>0</v>
      </c>
      <c r="O30">
        <f t="shared" si="2"/>
        <v>0</v>
      </c>
      <c r="P30">
        <f t="shared" si="3"/>
        <v>0</v>
      </c>
      <c r="Q30">
        <f t="shared" si="4"/>
        <v>4</v>
      </c>
    </row>
    <row r="31" spans="1:17" x14ac:dyDescent="0.35">
      <c r="A31">
        <v>3</v>
      </c>
      <c r="B31" s="2" t="s">
        <v>378</v>
      </c>
      <c r="C31" s="2" t="s">
        <v>383</v>
      </c>
      <c r="D31" s="31">
        <v>0.5</v>
      </c>
      <c r="E31" s="2"/>
      <c r="F31" s="2"/>
      <c r="G31" s="2"/>
      <c r="H31" s="2"/>
      <c r="M31">
        <f t="shared" si="0"/>
        <v>0</v>
      </c>
      <c r="N31">
        <f t="shared" si="1"/>
        <v>1</v>
      </c>
      <c r="O31">
        <f t="shared" si="2"/>
        <v>0</v>
      </c>
      <c r="P31">
        <f t="shared" si="3"/>
        <v>0</v>
      </c>
      <c r="Q31">
        <f t="shared" si="4"/>
        <v>1</v>
      </c>
    </row>
    <row r="32" spans="1:17" x14ac:dyDescent="0.35">
      <c r="A32">
        <v>3</v>
      </c>
      <c r="B32" s="2" t="s">
        <v>378</v>
      </c>
      <c r="C32" s="2" t="s">
        <v>384</v>
      </c>
      <c r="D32" s="31">
        <v>0.4</v>
      </c>
      <c r="E32" s="2"/>
      <c r="F32" s="31">
        <v>0.4</v>
      </c>
      <c r="G32" s="31">
        <v>0.4</v>
      </c>
      <c r="H32" s="31">
        <v>0.4</v>
      </c>
      <c r="M32">
        <f t="shared" si="0"/>
        <v>4</v>
      </c>
      <c r="N32">
        <f t="shared" si="1"/>
        <v>0</v>
      </c>
      <c r="O32">
        <f t="shared" si="2"/>
        <v>0</v>
      </c>
      <c r="P32">
        <f t="shared" si="3"/>
        <v>0</v>
      </c>
      <c r="Q32">
        <f t="shared" si="4"/>
        <v>4</v>
      </c>
    </row>
    <row r="33" spans="1:17" x14ac:dyDescent="0.35">
      <c r="A33">
        <v>3</v>
      </c>
      <c r="B33" s="2" t="s">
        <v>378</v>
      </c>
      <c r="C33" s="2" t="s">
        <v>385</v>
      </c>
      <c r="D33" s="31">
        <v>0.4</v>
      </c>
      <c r="E33" s="2"/>
      <c r="F33" s="2"/>
      <c r="G33" s="2"/>
      <c r="H33" s="2"/>
      <c r="M33">
        <f t="shared" si="0"/>
        <v>1</v>
      </c>
      <c r="N33">
        <f t="shared" si="1"/>
        <v>0</v>
      </c>
      <c r="O33">
        <f t="shared" si="2"/>
        <v>0</v>
      </c>
      <c r="P33">
        <f t="shared" si="3"/>
        <v>0</v>
      </c>
      <c r="Q33">
        <f t="shared" si="4"/>
        <v>1</v>
      </c>
    </row>
    <row r="34" spans="1:17" x14ac:dyDescent="0.35">
      <c r="A34">
        <v>3</v>
      </c>
      <c r="B34" s="2" t="s">
        <v>378</v>
      </c>
      <c r="C34" s="2" t="s">
        <v>258</v>
      </c>
      <c r="D34" s="31">
        <v>0.4</v>
      </c>
      <c r="E34" s="2"/>
      <c r="F34" s="2"/>
      <c r="G34" s="2"/>
      <c r="H34" s="2"/>
      <c r="M34">
        <f t="shared" si="0"/>
        <v>1</v>
      </c>
      <c r="N34">
        <f t="shared" si="1"/>
        <v>0</v>
      </c>
      <c r="O34">
        <f t="shared" si="2"/>
        <v>0</v>
      </c>
      <c r="P34">
        <f t="shared" si="3"/>
        <v>0</v>
      </c>
      <c r="Q34">
        <f t="shared" si="4"/>
        <v>1</v>
      </c>
    </row>
    <row r="35" spans="1:17" x14ac:dyDescent="0.35">
      <c r="A35">
        <v>3</v>
      </c>
      <c r="B35" s="2" t="s">
        <v>378</v>
      </c>
      <c r="C35" s="2" t="s">
        <v>386</v>
      </c>
      <c r="D35" s="2"/>
      <c r="E35" s="2"/>
      <c r="F35" s="31">
        <v>0.4</v>
      </c>
      <c r="G35" s="2"/>
      <c r="H35" s="31">
        <v>0.4</v>
      </c>
      <c r="L35" s="7">
        <v>0.5</v>
      </c>
      <c r="M35">
        <f t="shared" si="0"/>
        <v>2</v>
      </c>
      <c r="N35">
        <f t="shared" si="1"/>
        <v>1</v>
      </c>
      <c r="O35">
        <f t="shared" si="2"/>
        <v>0</v>
      </c>
      <c r="P35">
        <f t="shared" si="3"/>
        <v>0</v>
      </c>
      <c r="Q35">
        <f t="shared" si="4"/>
        <v>3</v>
      </c>
    </row>
    <row r="36" spans="1:17" ht="29" x14ac:dyDescent="0.35">
      <c r="A36">
        <v>3</v>
      </c>
      <c r="B36" s="2" t="s">
        <v>378</v>
      </c>
      <c r="C36" s="2" t="s">
        <v>387</v>
      </c>
      <c r="D36" s="2"/>
      <c r="E36" s="2"/>
      <c r="F36" s="31">
        <v>0.4</v>
      </c>
      <c r="G36" s="2"/>
      <c r="H36" s="2"/>
      <c r="M36">
        <f t="shared" si="0"/>
        <v>1</v>
      </c>
      <c r="N36">
        <f t="shared" si="1"/>
        <v>0</v>
      </c>
      <c r="O36">
        <f t="shared" si="2"/>
        <v>0</v>
      </c>
      <c r="P36">
        <f t="shared" si="3"/>
        <v>0</v>
      </c>
      <c r="Q36">
        <f t="shared" si="4"/>
        <v>1</v>
      </c>
    </row>
    <row r="37" spans="1:17" x14ac:dyDescent="0.35">
      <c r="A37">
        <v>4</v>
      </c>
      <c r="B37" s="2" t="s">
        <v>388</v>
      </c>
      <c r="C37" s="2" t="s">
        <v>389</v>
      </c>
      <c r="D37" s="31">
        <v>0.4</v>
      </c>
      <c r="E37" s="2"/>
      <c r="F37" s="2"/>
      <c r="G37" s="2"/>
      <c r="H37" s="31">
        <v>0.4</v>
      </c>
      <c r="K37" s="7">
        <v>0.5</v>
      </c>
      <c r="M37">
        <f t="shared" si="0"/>
        <v>2</v>
      </c>
      <c r="N37">
        <f t="shared" si="1"/>
        <v>1</v>
      </c>
      <c r="O37">
        <f t="shared" si="2"/>
        <v>0</v>
      </c>
      <c r="P37">
        <f t="shared" si="3"/>
        <v>0</v>
      </c>
      <c r="Q37">
        <f t="shared" si="4"/>
        <v>3</v>
      </c>
    </row>
    <row r="38" spans="1:17" x14ac:dyDescent="0.35">
      <c r="A38">
        <v>4</v>
      </c>
      <c r="B38" s="2" t="s">
        <v>388</v>
      </c>
      <c r="C38" s="2" t="s">
        <v>390</v>
      </c>
      <c r="D38" s="31">
        <v>0.4</v>
      </c>
      <c r="E38" s="31">
        <v>0.4</v>
      </c>
      <c r="F38" s="31">
        <v>0.4</v>
      </c>
      <c r="G38" s="2"/>
      <c r="H38" s="31">
        <v>0.4</v>
      </c>
      <c r="I38" s="7">
        <v>0.4</v>
      </c>
      <c r="M38">
        <f t="shared" si="0"/>
        <v>5</v>
      </c>
      <c r="N38">
        <f t="shared" si="1"/>
        <v>0</v>
      </c>
      <c r="O38">
        <f t="shared" si="2"/>
        <v>0</v>
      </c>
      <c r="P38">
        <f t="shared" si="3"/>
        <v>0</v>
      </c>
      <c r="Q38">
        <f t="shared" si="4"/>
        <v>5</v>
      </c>
    </row>
    <row r="39" spans="1:17" x14ac:dyDescent="0.35">
      <c r="A39">
        <v>4</v>
      </c>
      <c r="B39" s="2" t="s">
        <v>388</v>
      </c>
      <c r="C39" s="2" t="s">
        <v>391</v>
      </c>
      <c r="D39" s="2"/>
      <c r="E39" s="31">
        <v>0.4</v>
      </c>
      <c r="F39" s="2"/>
      <c r="G39" s="2"/>
      <c r="H39" s="31">
        <v>0.4</v>
      </c>
      <c r="M39">
        <f t="shared" si="0"/>
        <v>2</v>
      </c>
      <c r="N39">
        <f t="shared" si="1"/>
        <v>0</v>
      </c>
      <c r="O39">
        <f t="shared" si="2"/>
        <v>0</v>
      </c>
      <c r="P39">
        <f t="shared" si="3"/>
        <v>0</v>
      </c>
      <c r="Q39">
        <f t="shared" si="4"/>
        <v>2</v>
      </c>
    </row>
    <row r="40" spans="1:17" x14ac:dyDescent="0.35">
      <c r="A40">
        <v>4</v>
      </c>
      <c r="B40" s="2" t="s">
        <v>388</v>
      </c>
      <c r="C40" s="2" t="s">
        <v>392</v>
      </c>
      <c r="D40" s="2"/>
      <c r="E40" s="31">
        <v>0.4</v>
      </c>
      <c r="F40" s="31">
        <v>0.4</v>
      </c>
      <c r="G40" s="2"/>
      <c r="H40" s="2"/>
      <c r="I40" s="7">
        <v>0.4</v>
      </c>
      <c r="K40" s="7">
        <v>0.5</v>
      </c>
      <c r="M40">
        <f t="shared" si="0"/>
        <v>3</v>
      </c>
      <c r="N40">
        <f t="shared" si="1"/>
        <v>1</v>
      </c>
      <c r="O40">
        <f t="shared" si="2"/>
        <v>0</v>
      </c>
      <c r="P40">
        <f t="shared" si="3"/>
        <v>0</v>
      </c>
      <c r="Q40">
        <f t="shared" si="4"/>
        <v>4</v>
      </c>
    </row>
    <row r="41" spans="1:17" x14ac:dyDescent="0.35">
      <c r="A41">
        <v>4</v>
      </c>
      <c r="B41" s="2" t="s">
        <v>388</v>
      </c>
      <c r="C41" s="2" t="s">
        <v>393</v>
      </c>
      <c r="D41" s="31">
        <v>0.4</v>
      </c>
      <c r="E41" s="31">
        <v>0.4</v>
      </c>
      <c r="F41" s="2"/>
      <c r="G41" s="2"/>
      <c r="H41" s="2"/>
      <c r="I41" s="7">
        <v>0.4</v>
      </c>
      <c r="M41">
        <f t="shared" si="0"/>
        <v>3</v>
      </c>
      <c r="N41">
        <f t="shared" si="1"/>
        <v>0</v>
      </c>
      <c r="O41">
        <f t="shared" si="2"/>
        <v>0</v>
      </c>
      <c r="P41">
        <f t="shared" si="3"/>
        <v>0</v>
      </c>
      <c r="Q41">
        <f t="shared" si="4"/>
        <v>3</v>
      </c>
    </row>
    <row r="42" spans="1:17" x14ac:dyDescent="0.35">
      <c r="A42">
        <v>4</v>
      </c>
      <c r="B42" s="2" t="s">
        <v>388</v>
      </c>
      <c r="C42" s="2" t="s">
        <v>394</v>
      </c>
      <c r="D42" s="2"/>
      <c r="E42" s="31">
        <v>0.4</v>
      </c>
      <c r="F42" s="2"/>
      <c r="G42" s="2"/>
      <c r="H42" s="2"/>
      <c r="I42" s="7">
        <v>0.4</v>
      </c>
      <c r="M42">
        <f t="shared" si="0"/>
        <v>2</v>
      </c>
      <c r="N42">
        <f t="shared" si="1"/>
        <v>0</v>
      </c>
      <c r="O42">
        <f t="shared" si="2"/>
        <v>0</v>
      </c>
      <c r="P42">
        <f t="shared" si="3"/>
        <v>0</v>
      </c>
      <c r="Q42">
        <f t="shared" si="4"/>
        <v>2</v>
      </c>
    </row>
    <row r="43" spans="1:17" x14ac:dyDescent="0.35">
      <c r="A43">
        <v>4</v>
      </c>
      <c r="B43" s="2" t="s">
        <v>388</v>
      </c>
      <c r="C43" s="2" t="s">
        <v>395</v>
      </c>
      <c r="D43" s="2"/>
      <c r="E43" s="2"/>
      <c r="F43" s="31">
        <v>0.4</v>
      </c>
      <c r="G43" s="31">
        <v>0.4</v>
      </c>
      <c r="H43" s="2"/>
      <c r="I43" s="7">
        <v>0.4</v>
      </c>
      <c r="K43" s="7">
        <v>0.4</v>
      </c>
      <c r="M43">
        <f t="shared" si="0"/>
        <v>4</v>
      </c>
      <c r="N43">
        <f t="shared" si="1"/>
        <v>0</v>
      </c>
      <c r="O43">
        <f t="shared" si="2"/>
        <v>0</v>
      </c>
      <c r="P43">
        <f t="shared" si="3"/>
        <v>0</v>
      </c>
      <c r="Q43">
        <f t="shared" si="4"/>
        <v>4</v>
      </c>
    </row>
    <row r="44" spans="1:17" x14ac:dyDescent="0.35">
      <c r="A44">
        <v>5</v>
      </c>
      <c r="B44" s="2" t="s">
        <v>396</v>
      </c>
      <c r="C44" s="2" t="s">
        <v>397</v>
      </c>
      <c r="D44" s="31">
        <v>0.75</v>
      </c>
      <c r="E44" s="2"/>
      <c r="F44" s="2"/>
      <c r="G44" s="2"/>
      <c r="H44" s="2"/>
      <c r="K44" s="7">
        <v>0.5</v>
      </c>
      <c r="L44" s="7">
        <v>0.5</v>
      </c>
      <c r="M44">
        <f t="shared" si="0"/>
        <v>0</v>
      </c>
      <c r="N44">
        <f t="shared" si="1"/>
        <v>2</v>
      </c>
      <c r="O44">
        <f t="shared" si="2"/>
        <v>0</v>
      </c>
      <c r="P44">
        <f t="shared" si="3"/>
        <v>1</v>
      </c>
      <c r="Q44">
        <f t="shared" si="4"/>
        <v>3</v>
      </c>
    </row>
    <row r="45" spans="1:17" x14ac:dyDescent="0.35">
      <c r="A45">
        <v>5</v>
      </c>
      <c r="B45" s="2" t="s">
        <v>396</v>
      </c>
      <c r="C45" s="2" t="s">
        <v>398</v>
      </c>
      <c r="D45" s="31">
        <v>0.75</v>
      </c>
      <c r="E45" s="31">
        <v>0.4</v>
      </c>
      <c r="F45" s="2"/>
      <c r="G45" s="2"/>
      <c r="H45" s="2"/>
      <c r="M45">
        <f t="shared" si="0"/>
        <v>1</v>
      </c>
      <c r="N45">
        <f t="shared" si="1"/>
        <v>0</v>
      </c>
      <c r="O45">
        <f t="shared" si="2"/>
        <v>0</v>
      </c>
      <c r="P45">
        <f t="shared" si="3"/>
        <v>1</v>
      </c>
      <c r="Q45">
        <f t="shared" si="4"/>
        <v>2</v>
      </c>
    </row>
    <row r="46" spans="1:17" x14ac:dyDescent="0.35">
      <c r="A46">
        <v>5</v>
      </c>
      <c r="B46" s="2" t="s">
        <v>396</v>
      </c>
      <c r="C46" s="2" t="s">
        <v>399</v>
      </c>
      <c r="D46" s="31">
        <v>0.75</v>
      </c>
      <c r="E46" s="2"/>
      <c r="F46" s="31">
        <v>0.6</v>
      </c>
      <c r="G46" s="2"/>
      <c r="H46" s="2"/>
      <c r="I46" s="7">
        <v>0.4</v>
      </c>
      <c r="M46">
        <f t="shared" si="0"/>
        <v>1</v>
      </c>
      <c r="N46">
        <f t="shared" si="1"/>
        <v>0</v>
      </c>
      <c r="O46">
        <f t="shared" si="2"/>
        <v>1</v>
      </c>
      <c r="P46">
        <f t="shared" si="3"/>
        <v>1</v>
      </c>
      <c r="Q46">
        <f t="shared" si="4"/>
        <v>3</v>
      </c>
    </row>
    <row r="47" spans="1:17" x14ac:dyDescent="0.35">
      <c r="A47">
        <v>5</v>
      </c>
      <c r="B47" s="2" t="s">
        <v>396</v>
      </c>
      <c r="C47" s="2" t="s">
        <v>400</v>
      </c>
      <c r="D47" s="31">
        <v>0.4</v>
      </c>
      <c r="E47" s="31">
        <v>0.4</v>
      </c>
      <c r="F47" s="2"/>
      <c r="G47" s="31">
        <v>0.4</v>
      </c>
      <c r="H47" s="31">
        <v>0.4</v>
      </c>
      <c r="I47" s="7">
        <v>0.4</v>
      </c>
      <c r="L47" s="7">
        <v>0.5</v>
      </c>
      <c r="M47">
        <f t="shared" si="0"/>
        <v>5</v>
      </c>
      <c r="N47">
        <f t="shared" si="1"/>
        <v>1</v>
      </c>
      <c r="O47">
        <f t="shared" si="2"/>
        <v>0</v>
      </c>
      <c r="P47">
        <f t="shared" si="3"/>
        <v>0</v>
      </c>
      <c r="Q47">
        <f t="shared" si="4"/>
        <v>6</v>
      </c>
    </row>
    <row r="48" spans="1:17" x14ac:dyDescent="0.35">
      <c r="A48">
        <v>5</v>
      </c>
      <c r="B48" s="2" t="s">
        <v>396</v>
      </c>
      <c r="C48" s="2" t="s">
        <v>401</v>
      </c>
      <c r="D48" s="31">
        <v>0.4</v>
      </c>
      <c r="E48" s="2"/>
      <c r="F48" s="2"/>
      <c r="G48" s="2"/>
      <c r="H48" s="2"/>
      <c r="K48" s="7">
        <v>0.5</v>
      </c>
      <c r="M48">
        <f t="shared" si="0"/>
        <v>1</v>
      </c>
      <c r="N48">
        <f t="shared" si="1"/>
        <v>1</v>
      </c>
      <c r="O48">
        <f t="shared" si="2"/>
        <v>0</v>
      </c>
      <c r="P48">
        <f t="shared" si="3"/>
        <v>0</v>
      </c>
      <c r="Q48">
        <f t="shared" si="4"/>
        <v>2</v>
      </c>
    </row>
    <row r="49" spans="1:17" x14ac:dyDescent="0.35">
      <c r="A49">
        <v>5</v>
      </c>
      <c r="B49" s="2" t="s">
        <v>396</v>
      </c>
      <c r="C49" s="2" t="s">
        <v>402</v>
      </c>
      <c r="D49" s="31">
        <v>0.4</v>
      </c>
      <c r="E49" s="2"/>
      <c r="F49" s="2"/>
      <c r="G49" s="31">
        <v>0.4</v>
      </c>
      <c r="H49" s="2"/>
      <c r="I49" s="7">
        <v>0.4</v>
      </c>
      <c r="M49">
        <f t="shared" si="0"/>
        <v>3</v>
      </c>
      <c r="N49">
        <f t="shared" si="1"/>
        <v>0</v>
      </c>
      <c r="O49">
        <f t="shared" si="2"/>
        <v>0</v>
      </c>
      <c r="P49">
        <f t="shared" si="3"/>
        <v>0</v>
      </c>
      <c r="Q49">
        <f t="shared" si="4"/>
        <v>3</v>
      </c>
    </row>
    <row r="50" spans="1:17" x14ac:dyDescent="0.35">
      <c r="A50">
        <v>5</v>
      </c>
      <c r="B50" s="2" t="s">
        <v>396</v>
      </c>
      <c r="C50" s="2" t="s">
        <v>403</v>
      </c>
      <c r="D50" s="31">
        <v>0.75</v>
      </c>
      <c r="E50" s="31">
        <v>0.4</v>
      </c>
      <c r="F50" s="31">
        <v>0.6</v>
      </c>
      <c r="G50" s="2"/>
      <c r="H50" s="31">
        <v>0.4</v>
      </c>
      <c r="I50" s="7">
        <v>0.4</v>
      </c>
      <c r="K50" s="7">
        <v>0.5</v>
      </c>
      <c r="M50">
        <f t="shared" si="0"/>
        <v>3</v>
      </c>
      <c r="N50">
        <f t="shared" si="1"/>
        <v>1</v>
      </c>
      <c r="O50">
        <f t="shared" si="2"/>
        <v>1</v>
      </c>
      <c r="P50">
        <f t="shared" si="3"/>
        <v>1</v>
      </c>
      <c r="Q50">
        <f t="shared" si="4"/>
        <v>6</v>
      </c>
    </row>
    <row r="51" spans="1:17" x14ac:dyDescent="0.35">
      <c r="A51">
        <v>5</v>
      </c>
      <c r="B51" s="2" t="s">
        <v>396</v>
      </c>
      <c r="C51" s="2" t="s">
        <v>404</v>
      </c>
      <c r="D51" s="31">
        <v>0.75</v>
      </c>
      <c r="E51" s="31">
        <v>0.4</v>
      </c>
      <c r="F51" s="31">
        <v>0.6</v>
      </c>
      <c r="G51" s="31">
        <v>0.4</v>
      </c>
      <c r="H51" s="31">
        <v>0.4</v>
      </c>
      <c r="I51" s="7">
        <v>0.4</v>
      </c>
      <c r="K51" s="7">
        <v>0.5</v>
      </c>
      <c r="L51" s="7">
        <v>0.5</v>
      </c>
      <c r="M51">
        <f t="shared" si="0"/>
        <v>4</v>
      </c>
      <c r="N51">
        <f t="shared" si="1"/>
        <v>2</v>
      </c>
      <c r="O51">
        <f t="shared" si="2"/>
        <v>1</v>
      </c>
      <c r="P51">
        <f t="shared" si="3"/>
        <v>1</v>
      </c>
      <c r="Q51">
        <f t="shared" si="4"/>
        <v>8</v>
      </c>
    </row>
    <row r="52" spans="1:17" x14ac:dyDescent="0.35">
      <c r="A52">
        <v>5</v>
      </c>
      <c r="B52" s="2" t="s">
        <v>396</v>
      </c>
      <c r="C52" s="2" t="s">
        <v>405</v>
      </c>
      <c r="D52" s="2"/>
      <c r="E52" s="31">
        <v>0.4</v>
      </c>
      <c r="F52" s="31">
        <v>0.6</v>
      </c>
      <c r="G52" s="2"/>
      <c r="H52" s="2"/>
      <c r="L52" s="7">
        <v>0.5</v>
      </c>
      <c r="M52">
        <f t="shared" si="0"/>
        <v>1</v>
      </c>
      <c r="N52">
        <f t="shared" si="1"/>
        <v>1</v>
      </c>
      <c r="O52">
        <f t="shared" si="2"/>
        <v>1</v>
      </c>
      <c r="P52">
        <f t="shared" si="3"/>
        <v>0</v>
      </c>
      <c r="Q52">
        <f t="shared" si="4"/>
        <v>3</v>
      </c>
    </row>
    <row r="53" spans="1:17" x14ac:dyDescent="0.35">
      <c r="A53">
        <v>5</v>
      </c>
      <c r="B53" s="2" t="s">
        <v>396</v>
      </c>
      <c r="C53" s="2" t="s">
        <v>406</v>
      </c>
      <c r="D53" s="2"/>
      <c r="E53" s="31">
        <v>0.4</v>
      </c>
      <c r="F53" s="31">
        <v>0.6</v>
      </c>
      <c r="G53" s="2"/>
      <c r="H53" s="2"/>
      <c r="I53" s="7">
        <v>0.4</v>
      </c>
      <c r="M53">
        <f t="shared" si="0"/>
        <v>2</v>
      </c>
      <c r="N53">
        <f t="shared" si="1"/>
        <v>0</v>
      </c>
      <c r="O53">
        <f t="shared" si="2"/>
        <v>1</v>
      </c>
      <c r="P53">
        <f t="shared" si="3"/>
        <v>0</v>
      </c>
      <c r="Q53">
        <f t="shared" si="4"/>
        <v>3</v>
      </c>
    </row>
    <row r="54" spans="1:17" x14ac:dyDescent="0.35">
      <c r="A54">
        <v>5</v>
      </c>
      <c r="B54" s="2" t="s">
        <v>396</v>
      </c>
      <c r="C54" s="2" t="s">
        <v>407</v>
      </c>
      <c r="D54" s="31">
        <v>0.4</v>
      </c>
      <c r="E54" s="2"/>
      <c r="F54" s="31">
        <v>0.6</v>
      </c>
      <c r="G54" s="2"/>
      <c r="H54" s="2"/>
      <c r="I54" s="7">
        <v>0.4</v>
      </c>
      <c r="L54" s="7">
        <v>0.5</v>
      </c>
      <c r="M54">
        <f t="shared" si="0"/>
        <v>2</v>
      </c>
      <c r="N54">
        <f t="shared" si="1"/>
        <v>1</v>
      </c>
      <c r="O54">
        <f t="shared" si="2"/>
        <v>1</v>
      </c>
      <c r="P54">
        <f t="shared" si="3"/>
        <v>0</v>
      </c>
      <c r="Q54">
        <f t="shared" si="4"/>
        <v>4</v>
      </c>
    </row>
    <row r="55" spans="1:17" x14ac:dyDescent="0.35">
      <c r="A55">
        <v>5</v>
      </c>
      <c r="B55" s="2" t="s">
        <v>396</v>
      </c>
      <c r="C55" s="2" t="s">
        <v>408</v>
      </c>
      <c r="D55" s="31">
        <v>0.4</v>
      </c>
      <c r="E55" s="2"/>
      <c r="F55" s="31">
        <v>0.6</v>
      </c>
      <c r="G55" s="2"/>
      <c r="H55" s="2"/>
      <c r="I55" s="7">
        <v>0.4</v>
      </c>
      <c r="M55">
        <f t="shared" si="0"/>
        <v>2</v>
      </c>
      <c r="N55">
        <f t="shared" si="1"/>
        <v>0</v>
      </c>
      <c r="O55">
        <f t="shared" si="2"/>
        <v>1</v>
      </c>
      <c r="P55">
        <f t="shared" si="3"/>
        <v>0</v>
      </c>
      <c r="Q55">
        <f t="shared" si="4"/>
        <v>3</v>
      </c>
    </row>
    <row r="56" spans="1:17" x14ac:dyDescent="0.35">
      <c r="A56">
        <v>5</v>
      </c>
      <c r="B56" s="2" t="s">
        <v>396</v>
      </c>
      <c r="C56" s="2" t="s">
        <v>409</v>
      </c>
      <c r="D56" s="2"/>
      <c r="E56" s="2"/>
      <c r="F56" s="31">
        <v>0.6</v>
      </c>
      <c r="G56" s="2"/>
      <c r="H56" s="31">
        <v>0.4</v>
      </c>
      <c r="K56" s="7"/>
      <c r="L56" s="7">
        <v>0.5</v>
      </c>
      <c r="M56">
        <f t="shared" si="0"/>
        <v>1</v>
      </c>
      <c r="N56">
        <f t="shared" si="1"/>
        <v>1</v>
      </c>
      <c r="O56">
        <f t="shared" si="2"/>
        <v>1</v>
      </c>
      <c r="P56">
        <f t="shared" si="3"/>
        <v>0</v>
      </c>
      <c r="Q56">
        <f t="shared" si="4"/>
        <v>3</v>
      </c>
    </row>
    <row r="57" spans="1:17" ht="29" x14ac:dyDescent="0.35">
      <c r="A57">
        <v>5</v>
      </c>
      <c r="B57" s="2" t="s">
        <v>396</v>
      </c>
      <c r="C57" s="2" t="s">
        <v>410</v>
      </c>
      <c r="H57" s="7">
        <v>0.4</v>
      </c>
      <c r="K57" s="7">
        <v>0.5</v>
      </c>
      <c r="M57">
        <f t="shared" si="0"/>
        <v>1</v>
      </c>
      <c r="N57">
        <f t="shared" si="1"/>
        <v>1</v>
      </c>
      <c r="O57">
        <f t="shared" si="2"/>
        <v>0</v>
      </c>
      <c r="P57">
        <f t="shared" si="3"/>
        <v>0</v>
      </c>
      <c r="Q57">
        <f t="shared" si="4"/>
        <v>2</v>
      </c>
    </row>
    <row r="58" spans="1:17" x14ac:dyDescent="0.35">
      <c r="M58">
        <f>SUM(M1:M57)</f>
        <v>175</v>
      </c>
      <c r="N58">
        <f t="shared" ref="N58:Q58" si="5">SUM(N1:N57)</f>
        <v>81</v>
      </c>
      <c r="O58">
        <f t="shared" si="5"/>
        <v>68</v>
      </c>
      <c r="P58">
        <f t="shared" si="5"/>
        <v>82</v>
      </c>
      <c r="Q58">
        <f t="shared" si="5"/>
        <v>181</v>
      </c>
    </row>
    <row r="61" spans="1:17" x14ac:dyDescent="0.35">
      <c r="I61" s="7"/>
    </row>
    <row r="63" spans="1:17" x14ac:dyDescent="0.35">
      <c r="I63" s="7"/>
    </row>
  </sheetData>
  <autoFilter ref="A1:J58" xr:uid="{C8F7F19D-EDD1-41D3-8714-F829B21BB46E}"/>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91C5EC-E2AE-43E8-B958-D502CF28811A}">
  <sheetPr codeName="Sheet6"/>
  <dimension ref="A1:D12"/>
  <sheetViews>
    <sheetView workbookViewId="0">
      <selection activeCell="K9" sqref="K9"/>
    </sheetView>
  </sheetViews>
  <sheetFormatPr defaultRowHeight="14.5" x14ac:dyDescent="0.35"/>
  <sheetData>
    <row r="1" spans="1:4" ht="87" x14ac:dyDescent="0.35">
      <c r="A1" s="1" t="s">
        <v>195</v>
      </c>
      <c r="B1" s="1" t="s">
        <v>411</v>
      </c>
      <c r="C1" s="1" t="s">
        <v>412</v>
      </c>
      <c r="D1" s="1" t="s">
        <v>413</v>
      </c>
    </row>
    <row r="2" spans="1:4" ht="101.5" x14ac:dyDescent="0.35">
      <c r="A2" s="2">
        <v>1</v>
      </c>
      <c r="B2" s="2" t="s">
        <v>414</v>
      </c>
      <c r="C2" s="2" t="s">
        <v>415</v>
      </c>
      <c r="D2" s="2" t="s">
        <v>416</v>
      </c>
    </row>
    <row r="3" spans="1:4" ht="43.5" x14ac:dyDescent="0.35">
      <c r="A3" s="2">
        <v>2</v>
      </c>
      <c r="B3" s="2" t="s">
        <v>360</v>
      </c>
      <c r="C3" s="2" t="s">
        <v>417</v>
      </c>
      <c r="D3" s="2" t="s">
        <v>418</v>
      </c>
    </row>
    <row r="4" spans="1:4" ht="43.5" x14ac:dyDescent="0.35">
      <c r="A4" s="2">
        <v>3</v>
      </c>
      <c r="B4" s="2" t="s">
        <v>361</v>
      </c>
      <c r="C4" s="2" t="s">
        <v>417</v>
      </c>
      <c r="D4" s="2" t="s">
        <v>418</v>
      </c>
    </row>
    <row r="5" spans="1:4" ht="43.5" x14ac:dyDescent="0.35">
      <c r="A5" s="2">
        <v>4</v>
      </c>
      <c r="B5" s="2" t="s">
        <v>211</v>
      </c>
      <c r="C5" s="2" t="s">
        <v>417</v>
      </c>
      <c r="D5" s="2" t="s">
        <v>418</v>
      </c>
    </row>
    <row r="6" spans="1:4" ht="43.5" x14ac:dyDescent="0.35">
      <c r="A6" s="2">
        <v>5</v>
      </c>
      <c r="B6" s="2" t="s">
        <v>214</v>
      </c>
      <c r="C6" s="2" t="s">
        <v>417</v>
      </c>
      <c r="D6" s="2" t="s">
        <v>418</v>
      </c>
    </row>
    <row r="7" spans="1:4" ht="58" x14ac:dyDescent="0.35">
      <c r="A7" s="2">
        <v>6</v>
      </c>
      <c r="B7" s="2" t="s">
        <v>419</v>
      </c>
      <c r="C7" s="2" t="s">
        <v>417</v>
      </c>
      <c r="D7" s="2" t="s">
        <v>418</v>
      </c>
    </row>
    <row r="8" spans="1:4" ht="43.5" x14ac:dyDescent="0.35">
      <c r="A8" s="2">
        <v>7</v>
      </c>
      <c r="B8" s="2" t="s">
        <v>420</v>
      </c>
      <c r="C8" s="2" t="s">
        <v>417</v>
      </c>
      <c r="D8" s="2" t="s">
        <v>418</v>
      </c>
    </row>
    <row r="9" spans="1:4" ht="43.5" x14ac:dyDescent="0.35">
      <c r="A9" s="2">
        <v>8</v>
      </c>
      <c r="B9" s="2" t="s">
        <v>421</v>
      </c>
      <c r="C9" s="2" t="s">
        <v>417</v>
      </c>
      <c r="D9" s="2" t="s">
        <v>418</v>
      </c>
    </row>
    <row r="10" spans="1:4" ht="43.5" x14ac:dyDescent="0.35">
      <c r="A10" s="2">
        <v>9</v>
      </c>
      <c r="B10" s="2" t="s">
        <v>422</v>
      </c>
      <c r="C10" s="2" t="s">
        <v>417</v>
      </c>
      <c r="D10" s="2" t="s">
        <v>418</v>
      </c>
    </row>
    <row r="11" spans="1:4" ht="43.5" x14ac:dyDescent="0.35">
      <c r="A11" s="2">
        <v>10</v>
      </c>
      <c r="B11" s="2" t="s">
        <v>423</v>
      </c>
      <c r="C11" s="2" t="s">
        <v>417</v>
      </c>
      <c r="D11" s="2" t="s">
        <v>418</v>
      </c>
    </row>
    <row r="12" spans="1:4" ht="101.5" x14ac:dyDescent="0.35">
      <c r="A12" s="2">
        <v>11</v>
      </c>
      <c r="B12" s="2" t="s">
        <v>424</v>
      </c>
      <c r="C12" s="2" t="s">
        <v>417</v>
      </c>
      <c r="D12" s="2" t="s">
        <v>418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AAC719-CF79-40FE-A9BE-E9570E1513C4}">
  <sheetPr codeName="Sheet7"/>
  <dimension ref="A1:E121"/>
  <sheetViews>
    <sheetView topLeftCell="A19" workbookViewId="0">
      <selection activeCell="B25" sqref="B25"/>
    </sheetView>
  </sheetViews>
  <sheetFormatPr defaultRowHeight="14.5" x14ac:dyDescent="0.35"/>
  <cols>
    <col min="1" max="1" width="8.54296875" bestFit="1" customWidth="1"/>
    <col min="2" max="2" width="38.1796875" bestFit="1" customWidth="1"/>
    <col min="3" max="3" width="38.81640625" bestFit="1" customWidth="1"/>
    <col min="4" max="4" width="57.1796875" bestFit="1" customWidth="1"/>
    <col min="5" max="5" width="7.453125" bestFit="1" customWidth="1"/>
  </cols>
  <sheetData>
    <row r="1" spans="1:5" ht="33" thickBot="1" x14ac:dyDescent="0.4">
      <c r="A1" s="29" t="s">
        <v>425</v>
      </c>
      <c r="B1" s="29" t="s">
        <v>426</v>
      </c>
      <c r="C1" s="29" t="s">
        <v>427</v>
      </c>
      <c r="D1" s="29" t="s">
        <v>428</v>
      </c>
      <c r="E1" s="28"/>
    </row>
    <row r="2" spans="1:5" ht="15" thickBot="1" x14ac:dyDescent="0.4">
      <c r="A2" s="30"/>
      <c r="B2" s="30" t="s">
        <v>429</v>
      </c>
      <c r="C2" s="30" t="s">
        <v>430</v>
      </c>
      <c r="D2" s="30" t="s">
        <v>431</v>
      </c>
      <c r="E2" s="30" t="s">
        <v>432</v>
      </c>
    </row>
    <row r="3" spans="1:5" ht="15" thickBot="1" x14ac:dyDescent="0.4">
      <c r="A3" s="30"/>
      <c r="B3" s="30" t="s">
        <v>433</v>
      </c>
      <c r="C3" s="30" t="s">
        <v>434</v>
      </c>
      <c r="D3" s="30" t="s">
        <v>435</v>
      </c>
      <c r="E3" s="30" t="s">
        <v>432</v>
      </c>
    </row>
    <row r="4" spans="1:5" ht="15" thickBot="1" x14ac:dyDescent="0.4">
      <c r="A4" s="30"/>
      <c r="B4" s="30" t="s">
        <v>436</v>
      </c>
      <c r="C4" s="30" t="s">
        <v>437</v>
      </c>
      <c r="D4" s="30" t="s">
        <v>438</v>
      </c>
      <c r="E4" s="30" t="s">
        <v>432</v>
      </c>
    </row>
    <row r="5" spans="1:5" ht="15" thickBot="1" x14ac:dyDescent="0.4">
      <c r="A5" s="30"/>
      <c r="B5" s="30" t="s">
        <v>439</v>
      </c>
      <c r="C5" s="30" t="s">
        <v>440</v>
      </c>
      <c r="D5" s="30" t="s">
        <v>441</v>
      </c>
      <c r="E5" s="30" t="s">
        <v>432</v>
      </c>
    </row>
    <row r="6" spans="1:5" ht="15" thickBot="1" x14ac:dyDescent="0.4">
      <c r="A6" s="30"/>
      <c r="B6" s="30" t="s">
        <v>442</v>
      </c>
      <c r="C6" s="30" t="s">
        <v>443</v>
      </c>
      <c r="D6" s="30" t="s">
        <v>444</v>
      </c>
      <c r="E6" s="30" t="s">
        <v>432</v>
      </c>
    </row>
    <row r="7" spans="1:5" ht="15" thickBot="1" x14ac:dyDescent="0.4">
      <c r="A7" s="30"/>
      <c r="B7" s="30" t="s">
        <v>445</v>
      </c>
      <c r="C7" s="30" t="s">
        <v>446</v>
      </c>
      <c r="D7" s="30" t="s">
        <v>447</v>
      </c>
      <c r="E7" s="30" t="s">
        <v>432</v>
      </c>
    </row>
    <row r="8" spans="1:5" ht="15" thickBot="1" x14ac:dyDescent="0.4">
      <c r="A8" s="30"/>
      <c r="B8" s="30" t="s">
        <v>448</v>
      </c>
      <c r="C8" s="30" t="s">
        <v>449</v>
      </c>
      <c r="D8" s="30" t="s">
        <v>450</v>
      </c>
      <c r="E8" s="30" t="s">
        <v>432</v>
      </c>
    </row>
    <row r="9" spans="1:5" ht="15" thickBot="1" x14ac:dyDescent="0.4">
      <c r="A9" s="30"/>
      <c r="B9" s="30" t="s">
        <v>451</v>
      </c>
      <c r="C9" s="30" t="s">
        <v>452</v>
      </c>
      <c r="D9" s="30" t="s">
        <v>453</v>
      </c>
      <c r="E9" s="30" t="s">
        <v>432</v>
      </c>
    </row>
    <row r="10" spans="1:5" ht="15" thickBot="1" x14ac:dyDescent="0.4">
      <c r="A10" s="30"/>
      <c r="B10" s="30" t="s">
        <v>454</v>
      </c>
      <c r="C10" s="30" t="s">
        <v>455</v>
      </c>
      <c r="D10" s="30" t="s">
        <v>456</v>
      </c>
      <c r="E10" s="30" t="s">
        <v>432</v>
      </c>
    </row>
    <row r="11" spans="1:5" ht="15" thickBot="1" x14ac:dyDescent="0.4">
      <c r="A11" s="30"/>
      <c r="B11" s="30" t="s">
        <v>457</v>
      </c>
      <c r="C11" s="30" t="s">
        <v>430</v>
      </c>
      <c r="D11" s="30" t="s">
        <v>458</v>
      </c>
      <c r="E11" s="30" t="s">
        <v>432</v>
      </c>
    </row>
    <row r="12" spans="1:5" ht="43.5" thickBot="1" x14ac:dyDescent="0.4">
      <c r="A12" s="29" t="s">
        <v>459</v>
      </c>
      <c r="B12" s="28"/>
      <c r="C12" s="28"/>
      <c r="D12" s="28"/>
      <c r="E12" s="28"/>
    </row>
    <row r="13" spans="1:5" ht="15" thickBot="1" x14ac:dyDescent="0.4">
      <c r="A13" s="30"/>
      <c r="B13" s="30" t="s">
        <v>460</v>
      </c>
      <c r="C13" s="30" t="s">
        <v>461</v>
      </c>
      <c r="D13" s="30" t="s">
        <v>462</v>
      </c>
      <c r="E13" s="30" t="s">
        <v>432</v>
      </c>
    </row>
    <row r="14" spans="1:5" ht="15" thickBot="1" x14ac:dyDescent="0.4">
      <c r="A14" s="30"/>
      <c r="B14" s="30" t="s">
        <v>463</v>
      </c>
      <c r="C14" s="30" t="s">
        <v>461</v>
      </c>
      <c r="D14" s="30" t="s">
        <v>462</v>
      </c>
      <c r="E14" s="30" t="s">
        <v>432</v>
      </c>
    </row>
    <row r="15" spans="1:5" ht="15" thickBot="1" x14ac:dyDescent="0.4">
      <c r="A15" s="30"/>
      <c r="B15" s="30" t="s">
        <v>464</v>
      </c>
      <c r="C15" s="30" t="s">
        <v>434</v>
      </c>
      <c r="D15" s="30" t="s">
        <v>465</v>
      </c>
      <c r="E15" s="30" t="s">
        <v>432</v>
      </c>
    </row>
    <row r="16" spans="1:5" ht="106.5" thickBot="1" x14ac:dyDescent="0.4">
      <c r="A16" s="29" t="s">
        <v>466</v>
      </c>
      <c r="B16" s="28"/>
      <c r="C16" s="28"/>
      <c r="D16" s="28"/>
      <c r="E16" s="28"/>
    </row>
    <row r="17" spans="1:5" ht="20.5" thickBot="1" x14ac:dyDescent="0.4">
      <c r="A17" s="30"/>
      <c r="B17" s="30" t="s">
        <v>467</v>
      </c>
      <c r="C17" s="30" t="s">
        <v>468</v>
      </c>
      <c r="D17" s="30" t="s">
        <v>469</v>
      </c>
      <c r="E17" s="30" t="s">
        <v>470</v>
      </c>
    </row>
    <row r="18" spans="1:5" ht="20.5" thickBot="1" x14ac:dyDescent="0.4">
      <c r="A18" s="30"/>
      <c r="B18" s="30" t="s">
        <v>471</v>
      </c>
      <c r="C18" s="30" t="s">
        <v>472</v>
      </c>
      <c r="D18" s="30" t="s">
        <v>473</v>
      </c>
      <c r="E18" s="30" t="s">
        <v>470</v>
      </c>
    </row>
    <row r="19" spans="1:5" ht="15" thickBot="1" x14ac:dyDescent="0.4">
      <c r="A19" s="30"/>
      <c r="B19" s="30" t="s">
        <v>474</v>
      </c>
      <c r="C19" s="30" t="s">
        <v>475</v>
      </c>
      <c r="D19" s="30" t="s">
        <v>476</v>
      </c>
      <c r="E19" s="30" t="s">
        <v>470</v>
      </c>
    </row>
    <row r="20" spans="1:5" ht="60.5" thickBot="1" x14ac:dyDescent="0.4">
      <c r="A20" s="30"/>
      <c r="B20" s="30" t="s">
        <v>477</v>
      </c>
      <c r="C20" s="30" t="s">
        <v>478</v>
      </c>
      <c r="D20" s="30" t="s">
        <v>479</v>
      </c>
      <c r="E20" s="30" t="s">
        <v>470</v>
      </c>
    </row>
    <row r="21" spans="1:5" ht="40.5" thickBot="1" x14ac:dyDescent="0.4">
      <c r="A21" s="30"/>
      <c r="B21" s="30" t="s">
        <v>480</v>
      </c>
      <c r="C21" s="30" t="s">
        <v>481</v>
      </c>
      <c r="D21" s="30" t="s">
        <v>482</v>
      </c>
      <c r="E21" s="30" t="s">
        <v>470</v>
      </c>
    </row>
    <row r="22" spans="1:5" ht="20.5" thickBot="1" x14ac:dyDescent="0.4">
      <c r="A22" s="30"/>
      <c r="B22" s="30" t="s">
        <v>483</v>
      </c>
      <c r="C22" s="30" t="s">
        <v>484</v>
      </c>
      <c r="D22" s="30" t="s">
        <v>485</v>
      </c>
      <c r="E22" s="30" t="s">
        <v>470</v>
      </c>
    </row>
    <row r="23" spans="1:5" ht="15" thickBot="1" x14ac:dyDescent="0.4">
      <c r="A23" s="30"/>
      <c r="B23" s="30" t="s">
        <v>382</v>
      </c>
      <c r="C23" s="30" t="s">
        <v>486</v>
      </c>
      <c r="D23" s="30" t="s">
        <v>453</v>
      </c>
      <c r="E23" s="30" t="s">
        <v>470</v>
      </c>
    </row>
    <row r="24" spans="1:5" ht="15" thickBot="1" x14ac:dyDescent="0.4">
      <c r="A24" s="30"/>
      <c r="B24" s="30" t="s">
        <v>487</v>
      </c>
      <c r="C24" s="30" t="s">
        <v>452</v>
      </c>
      <c r="D24" s="30" t="s">
        <v>453</v>
      </c>
      <c r="E24" s="30" t="s">
        <v>470</v>
      </c>
    </row>
    <row r="25" spans="1:5" ht="30.5" thickBot="1" x14ac:dyDescent="0.4">
      <c r="A25" s="30"/>
      <c r="B25" s="30" t="s">
        <v>488</v>
      </c>
      <c r="C25" s="30" t="s">
        <v>489</v>
      </c>
      <c r="D25" s="30" t="s">
        <v>479</v>
      </c>
      <c r="E25" s="30" t="s">
        <v>432</v>
      </c>
    </row>
    <row r="26" spans="1:5" ht="20.5" thickBot="1" x14ac:dyDescent="0.4">
      <c r="A26" s="30"/>
      <c r="B26" s="30" t="s">
        <v>490</v>
      </c>
      <c r="C26" s="30" t="s">
        <v>491</v>
      </c>
      <c r="D26" s="30" t="s">
        <v>469</v>
      </c>
      <c r="E26" s="30" t="s">
        <v>432</v>
      </c>
    </row>
    <row r="27" spans="1:5" ht="96" thickBot="1" x14ac:dyDescent="0.4">
      <c r="A27" s="29" t="s">
        <v>492</v>
      </c>
      <c r="B27" s="28"/>
      <c r="C27" s="28"/>
      <c r="D27" s="28"/>
      <c r="E27" s="28"/>
    </row>
    <row r="28" spans="1:5" ht="20.5" thickBot="1" x14ac:dyDescent="0.4">
      <c r="A28" s="30"/>
      <c r="B28" s="30" t="s">
        <v>493</v>
      </c>
      <c r="C28" s="30" t="s">
        <v>489</v>
      </c>
      <c r="D28" s="30" t="s">
        <v>479</v>
      </c>
      <c r="E28" s="30" t="s">
        <v>470</v>
      </c>
    </row>
    <row r="29" spans="1:5" ht="20.5" thickBot="1" x14ac:dyDescent="0.4">
      <c r="A29" s="30"/>
      <c r="B29" s="30" t="s">
        <v>494</v>
      </c>
      <c r="C29" s="30" t="s">
        <v>430</v>
      </c>
      <c r="D29" s="30" t="s">
        <v>495</v>
      </c>
      <c r="E29" s="30" t="s">
        <v>470</v>
      </c>
    </row>
    <row r="30" spans="1:5" ht="15" thickBot="1" x14ac:dyDescent="0.4">
      <c r="A30" s="30"/>
      <c r="B30" s="30" t="s">
        <v>496</v>
      </c>
      <c r="C30" s="30" t="s">
        <v>497</v>
      </c>
      <c r="D30" s="30" t="s">
        <v>456</v>
      </c>
      <c r="E30" s="30" t="s">
        <v>470</v>
      </c>
    </row>
    <row r="31" spans="1:5" ht="15" thickBot="1" x14ac:dyDescent="0.4">
      <c r="A31" s="30"/>
      <c r="B31" s="30" t="s">
        <v>498</v>
      </c>
      <c r="C31" s="30" t="s">
        <v>499</v>
      </c>
      <c r="D31" s="30" t="s">
        <v>500</v>
      </c>
      <c r="E31" s="30" t="s">
        <v>470</v>
      </c>
    </row>
    <row r="32" spans="1:5" ht="20.5" thickBot="1" x14ac:dyDescent="0.4">
      <c r="A32" s="30"/>
      <c r="B32" s="30" t="s">
        <v>474</v>
      </c>
      <c r="C32" s="30" t="s">
        <v>501</v>
      </c>
      <c r="D32" s="30" t="s">
        <v>469</v>
      </c>
      <c r="E32" s="30" t="s">
        <v>470</v>
      </c>
    </row>
    <row r="33" spans="1:5" ht="15" thickBot="1" x14ac:dyDescent="0.4">
      <c r="A33" s="30"/>
      <c r="B33" s="30" t="s">
        <v>502</v>
      </c>
      <c r="C33" s="30" t="s">
        <v>503</v>
      </c>
      <c r="D33" s="30" t="s">
        <v>473</v>
      </c>
      <c r="E33" s="30" t="s">
        <v>470</v>
      </c>
    </row>
    <row r="34" spans="1:5" ht="15" thickBot="1" x14ac:dyDescent="0.4">
      <c r="A34" s="30"/>
      <c r="B34" s="30" t="s">
        <v>504</v>
      </c>
      <c r="C34" s="30" t="s">
        <v>505</v>
      </c>
      <c r="D34" s="30" t="s">
        <v>506</v>
      </c>
      <c r="E34" s="30" t="s">
        <v>470</v>
      </c>
    </row>
    <row r="35" spans="1:5" ht="40.5" thickBot="1" x14ac:dyDescent="0.4">
      <c r="A35" s="30"/>
      <c r="B35" s="30" t="s">
        <v>507</v>
      </c>
      <c r="C35" s="30" t="s">
        <v>503</v>
      </c>
      <c r="D35" s="30" t="s">
        <v>473</v>
      </c>
      <c r="E35" s="30" t="s">
        <v>470</v>
      </c>
    </row>
    <row r="36" spans="1:5" ht="20.5" thickBot="1" x14ac:dyDescent="0.4">
      <c r="A36" s="30"/>
      <c r="B36" s="30" t="s">
        <v>508</v>
      </c>
      <c r="C36" s="30" t="s">
        <v>491</v>
      </c>
      <c r="D36" s="30" t="s">
        <v>509</v>
      </c>
      <c r="E36" s="30" t="s">
        <v>470</v>
      </c>
    </row>
    <row r="37" spans="1:5" ht="50.5" thickBot="1" x14ac:dyDescent="0.4">
      <c r="A37" s="30"/>
      <c r="B37" s="30" t="s">
        <v>510</v>
      </c>
      <c r="C37" s="30" t="s">
        <v>461</v>
      </c>
      <c r="D37" s="30" t="s">
        <v>462</v>
      </c>
      <c r="E37" s="30" t="s">
        <v>470</v>
      </c>
    </row>
    <row r="38" spans="1:5" ht="15" thickBot="1" x14ac:dyDescent="0.4">
      <c r="A38" s="30"/>
      <c r="B38" s="30" t="s">
        <v>511</v>
      </c>
      <c r="C38" s="30" t="s">
        <v>512</v>
      </c>
      <c r="D38" s="30" t="s">
        <v>513</v>
      </c>
      <c r="E38" s="30" t="s">
        <v>470</v>
      </c>
    </row>
    <row r="39" spans="1:5" ht="15" thickBot="1" x14ac:dyDescent="0.4">
      <c r="A39" s="30"/>
      <c r="B39" s="30" t="s">
        <v>514</v>
      </c>
      <c r="C39" s="30" t="s">
        <v>455</v>
      </c>
      <c r="D39" s="30" t="s">
        <v>456</v>
      </c>
      <c r="E39" s="30" t="s">
        <v>470</v>
      </c>
    </row>
    <row r="40" spans="1:5" ht="15" thickBot="1" x14ac:dyDescent="0.4">
      <c r="A40" s="30"/>
      <c r="B40" s="30" t="s">
        <v>515</v>
      </c>
      <c r="C40" s="30" t="s">
        <v>455</v>
      </c>
      <c r="D40" s="30" t="s">
        <v>473</v>
      </c>
      <c r="E40" s="30" t="s">
        <v>470</v>
      </c>
    </row>
    <row r="41" spans="1:5" ht="15" thickBot="1" x14ac:dyDescent="0.4">
      <c r="A41" s="30"/>
      <c r="B41" s="30" t="s">
        <v>516</v>
      </c>
      <c r="C41" s="30" t="s">
        <v>461</v>
      </c>
      <c r="D41" s="30" t="s">
        <v>462</v>
      </c>
      <c r="E41" s="30" t="s">
        <v>470</v>
      </c>
    </row>
    <row r="42" spans="1:5" ht="15" thickBot="1" x14ac:dyDescent="0.4">
      <c r="A42" s="30"/>
      <c r="B42" s="30" t="s">
        <v>517</v>
      </c>
      <c r="C42" s="30" t="s">
        <v>518</v>
      </c>
      <c r="D42" s="30" t="s">
        <v>438</v>
      </c>
      <c r="E42" s="30" t="s">
        <v>470</v>
      </c>
    </row>
    <row r="43" spans="1:5" ht="15" thickBot="1" x14ac:dyDescent="0.4">
      <c r="A43" s="30"/>
      <c r="B43" s="30" t="s">
        <v>519</v>
      </c>
      <c r="C43" s="30" t="s">
        <v>520</v>
      </c>
      <c r="D43" s="30" t="s">
        <v>521</v>
      </c>
      <c r="E43" s="30" t="s">
        <v>470</v>
      </c>
    </row>
    <row r="44" spans="1:5" ht="30.5" thickBot="1" x14ac:dyDescent="0.4">
      <c r="A44" s="30"/>
      <c r="B44" s="30" t="s">
        <v>522</v>
      </c>
      <c r="C44" s="30" t="s">
        <v>455</v>
      </c>
      <c r="D44" s="30" t="s">
        <v>473</v>
      </c>
      <c r="E44" s="30" t="s">
        <v>432</v>
      </c>
    </row>
    <row r="45" spans="1:5" ht="15" thickBot="1" x14ac:dyDescent="0.4">
      <c r="A45" s="30"/>
      <c r="B45" s="30" t="s">
        <v>523</v>
      </c>
      <c r="C45" s="30" t="s">
        <v>524</v>
      </c>
      <c r="D45" s="30" t="s">
        <v>525</v>
      </c>
      <c r="E45" s="30" t="s">
        <v>432</v>
      </c>
    </row>
    <row r="46" spans="1:5" ht="20.5" thickBot="1" x14ac:dyDescent="0.4">
      <c r="A46" s="30"/>
      <c r="B46" s="30" t="s">
        <v>526</v>
      </c>
      <c r="C46" s="30" t="s">
        <v>527</v>
      </c>
      <c r="D46" s="30" t="s">
        <v>528</v>
      </c>
      <c r="E46" s="30" t="s">
        <v>432</v>
      </c>
    </row>
    <row r="47" spans="1:5" ht="85.5" thickBot="1" x14ac:dyDescent="0.4">
      <c r="A47" s="29" t="s">
        <v>529</v>
      </c>
      <c r="B47" s="28"/>
      <c r="C47" s="28"/>
      <c r="D47" s="28"/>
      <c r="E47" s="28"/>
    </row>
    <row r="48" spans="1:5" ht="20.5" thickBot="1" x14ac:dyDescent="0.4">
      <c r="A48" s="30"/>
      <c r="B48" s="30" t="s">
        <v>530</v>
      </c>
      <c r="C48" s="30" t="s">
        <v>481</v>
      </c>
      <c r="D48" s="30" t="s">
        <v>482</v>
      </c>
      <c r="E48" s="30" t="s">
        <v>470</v>
      </c>
    </row>
    <row r="49" spans="1:5" ht="15" thickBot="1" x14ac:dyDescent="0.4">
      <c r="A49" s="30"/>
      <c r="B49" s="30" t="s">
        <v>504</v>
      </c>
      <c r="C49" s="30" t="s">
        <v>505</v>
      </c>
      <c r="D49" s="30" t="s">
        <v>506</v>
      </c>
      <c r="E49" s="30" t="s">
        <v>470</v>
      </c>
    </row>
    <row r="50" spans="1:5" ht="15" thickBot="1" x14ac:dyDescent="0.4">
      <c r="A50" s="30"/>
      <c r="B50" s="30" t="s">
        <v>531</v>
      </c>
      <c r="C50" s="30" t="s">
        <v>532</v>
      </c>
      <c r="D50" s="30" t="s">
        <v>533</v>
      </c>
      <c r="E50" s="30" t="s">
        <v>470</v>
      </c>
    </row>
    <row r="51" spans="1:5" ht="15" thickBot="1" x14ac:dyDescent="0.4">
      <c r="A51" s="30"/>
      <c r="B51" s="30" t="s">
        <v>534</v>
      </c>
      <c r="C51" s="30" t="s">
        <v>535</v>
      </c>
      <c r="D51" s="30" t="s">
        <v>536</v>
      </c>
      <c r="E51" s="30" t="s">
        <v>470</v>
      </c>
    </row>
    <row r="52" spans="1:5" ht="15" thickBot="1" x14ac:dyDescent="0.4">
      <c r="A52" s="30"/>
      <c r="B52" s="30" t="s">
        <v>537</v>
      </c>
      <c r="C52" s="30" t="s">
        <v>538</v>
      </c>
      <c r="D52" s="30" t="s">
        <v>539</v>
      </c>
      <c r="E52" s="30" t="s">
        <v>470</v>
      </c>
    </row>
    <row r="53" spans="1:5" ht="15" thickBot="1" x14ac:dyDescent="0.4">
      <c r="A53" s="30"/>
      <c r="B53" s="30" t="s">
        <v>540</v>
      </c>
      <c r="C53" s="30" t="s">
        <v>541</v>
      </c>
      <c r="D53" s="30" t="s">
        <v>542</v>
      </c>
      <c r="E53" s="30" t="s">
        <v>470</v>
      </c>
    </row>
    <row r="54" spans="1:5" ht="15" thickBot="1" x14ac:dyDescent="0.4">
      <c r="A54" s="30"/>
      <c r="B54" s="30" t="s">
        <v>543</v>
      </c>
      <c r="C54" s="30" t="s">
        <v>544</v>
      </c>
      <c r="D54" s="30" t="s">
        <v>545</v>
      </c>
      <c r="E54" s="30" t="s">
        <v>470</v>
      </c>
    </row>
    <row r="55" spans="1:5" ht="15" thickBot="1" x14ac:dyDescent="0.4">
      <c r="A55" s="30"/>
      <c r="B55" s="30" t="s">
        <v>498</v>
      </c>
      <c r="C55" s="30" t="s">
        <v>499</v>
      </c>
      <c r="D55" s="30" t="s">
        <v>500</v>
      </c>
      <c r="E55" s="30" t="s">
        <v>470</v>
      </c>
    </row>
    <row r="56" spans="1:5" ht="15" thickBot="1" x14ac:dyDescent="0.4">
      <c r="A56" s="30"/>
      <c r="B56" s="30" t="s">
        <v>546</v>
      </c>
      <c r="C56" s="30" t="s">
        <v>547</v>
      </c>
      <c r="D56" s="30" t="s">
        <v>548</v>
      </c>
      <c r="E56" s="30" t="s">
        <v>470</v>
      </c>
    </row>
    <row r="57" spans="1:5" ht="15" thickBot="1" x14ac:dyDescent="0.4">
      <c r="A57" s="30"/>
      <c r="B57" s="30" t="s">
        <v>502</v>
      </c>
      <c r="C57" s="30" t="s">
        <v>503</v>
      </c>
      <c r="D57" s="30" t="s">
        <v>473</v>
      </c>
      <c r="E57" s="30" t="s">
        <v>470</v>
      </c>
    </row>
    <row r="58" spans="1:5" ht="15" thickBot="1" x14ac:dyDescent="0.4">
      <c r="A58" s="30"/>
      <c r="B58" s="30" t="s">
        <v>549</v>
      </c>
      <c r="C58" s="30" t="s">
        <v>481</v>
      </c>
      <c r="D58" s="30" t="s">
        <v>482</v>
      </c>
      <c r="E58" s="30" t="s">
        <v>470</v>
      </c>
    </row>
    <row r="59" spans="1:5" ht="15" thickBot="1" x14ac:dyDescent="0.4">
      <c r="A59" s="30"/>
      <c r="B59" s="30" t="s">
        <v>550</v>
      </c>
      <c r="C59" s="30" t="s">
        <v>551</v>
      </c>
      <c r="D59" s="30" t="s">
        <v>552</v>
      </c>
      <c r="E59" s="30" t="s">
        <v>470</v>
      </c>
    </row>
    <row r="60" spans="1:5" ht="20.5" thickBot="1" x14ac:dyDescent="0.4">
      <c r="A60" s="30"/>
      <c r="B60" s="30" t="s">
        <v>553</v>
      </c>
      <c r="C60" s="30" t="s">
        <v>437</v>
      </c>
      <c r="D60" s="30" t="s">
        <v>438</v>
      </c>
      <c r="E60" s="30" t="s">
        <v>470</v>
      </c>
    </row>
    <row r="61" spans="1:5" ht="15" thickBot="1" x14ac:dyDescent="0.4">
      <c r="A61" s="30"/>
      <c r="B61" s="30" t="s">
        <v>554</v>
      </c>
      <c r="C61" s="30" t="s">
        <v>489</v>
      </c>
      <c r="D61" s="30" t="s">
        <v>479</v>
      </c>
      <c r="E61" s="30" t="s">
        <v>470</v>
      </c>
    </row>
    <row r="62" spans="1:5" ht="15" thickBot="1" x14ac:dyDescent="0.4">
      <c r="A62" s="30"/>
      <c r="B62" s="30" t="s">
        <v>555</v>
      </c>
      <c r="C62" s="30" t="s">
        <v>489</v>
      </c>
      <c r="D62" s="30" t="s">
        <v>479</v>
      </c>
      <c r="E62" s="30" t="s">
        <v>470</v>
      </c>
    </row>
    <row r="63" spans="1:5" ht="15" thickBot="1" x14ac:dyDescent="0.4">
      <c r="A63" s="30"/>
      <c r="B63" s="30" t="s">
        <v>556</v>
      </c>
      <c r="C63" s="30" t="s">
        <v>544</v>
      </c>
      <c r="D63" s="30" t="s">
        <v>545</v>
      </c>
      <c r="E63" s="30" t="s">
        <v>470</v>
      </c>
    </row>
    <row r="64" spans="1:5" ht="15" thickBot="1" x14ac:dyDescent="0.4">
      <c r="A64" s="30"/>
      <c r="B64" s="30" t="s">
        <v>557</v>
      </c>
      <c r="C64" s="30" t="s">
        <v>544</v>
      </c>
      <c r="D64" s="30" t="s">
        <v>545</v>
      </c>
      <c r="E64" s="30" t="s">
        <v>470</v>
      </c>
    </row>
    <row r="65" spans="1:5" ht="15" thickBot="1" x14ac:dyDescent="0.4">
      <c r="A65" s="30"/>
      <c r="B65" s="30" t="s">
        <v>558</v>
      </c>
      <c r="C65" s="30" t="s">
        <v>455</v>
      </c>
      <c r="D65" s="30" t="s">
        <v>456</v>
      </c>
      <c r="E65" s="30" t="s">
        <v>470</v>
      </c>
    </row>
    <row r="66" spans="1:5" ht="20.5" thickBot="1" x14ac:dyDescent="0.4">
      <c r="A66" s="30"/>
      <c r="B66" s="30" t="s">
        <v>559</v>
      </c>
      <c r="C66" s="30" t="s">
        <v>491</v>
      </c>
      <c r="D66" s="30" t="s">
        <v>560</v>
      </c>
      <c r="E66" s="30" t="s">
        <v>470</v>
      </c>
    </row>
    <row r="67" spans="1:5" ht="15" thickBot="1" x14ac:dyDescent="0.4">
      <c r="A67" s="30"/>
      <c r="B67" s="30" t="s">
        <v>393</v>
      </c>
      <c r="C67" s="30" t="s">
        <v>561</v>
      </c>
      <c r="D67" s="30" t="s">
        <v>473</v>
      </c>
      <c r="E67" s="30" t="s">
        <v>470</v>
      </c>
    </row>
    <row r="68" spans="1:5" ht="15" thickBot="1" x14ac:dyDescent="0.4">
      <c r="A68" s="30"/>
      <c r="B68" s="30" t="s">
        <v>562</v>
      </c>
      <c r="C68" s="30" t="s">
        <v>461</v>
      </c>
      <c r="D68" s="30" t="s">
        <v>462</v>
      </c>
      <c r="E68" s="30" t="s">
        <v>470</v>
      </c>
    </row>
    <row r="69" spans="1:5" ht="15" thickBot="1" x14ac:dyDescent="0.4">
      <c r="A69" s="30"/>
      <c r="B69" s="30" t="s">
        <v>563</v>
      </c>
      <c r="C69" s="30" t="s">
        <v>564</v>
      </c>
      <c r="D69" s="30" t="s">
        <v>565</v>
      </c>
      <c r="E69" s="30" t="s">
        <v>470</v>
      </c>
    </row>
    <row r="70" spans="1:5" ht="20.5" thickBot="1" x14ac:dyDescent="0.4">
      <c r="A70" s="30"/>
      <c r="B70" s="30" t="s">
        <v>566</v>
      </c>
      <c r="C70" s="30" t="s">
        <v>567</v>
      </c>
      <c r="D70" s="30" t="s">
        <v>568</v>
      </c>
      <c r="E70" s="30" t="s">
        <v>470</v>
      </c>
    </row>
    <row r="71" spans="1:5" ht="20.5" thickBot="1" x14ac:dyDescent="0.4">
      <c r="A71" s="30"/>
      <c r="B71" s="30" t="s">
        <v>569</v>
      </c>
      <c r="C71" s="30" t="s">
        <v>570</v>
      </c>
      <c r="D71" s="30" t="s">
        <v>571</v>
      </c>
      <c r="E71" s="30" t="s">
        <v>470</v>
      </c>
    </row>
    <row r="72" spans="1:5" ht="20.5" thickBot="1" x14ac:dyDescent="0.4">
      <c r="A72" s="30"/>
      <c r="B72" s="30" t="s">
        <v>572</v>
      </c>
      <c r="C72" s="30" t="s">
        <v>573</v>
      </c>
      <c r="D72" s="30" t="s">
        <v>574</v>
      </c>
      <c r="E72" s="30" t="s">
        <v>470</v>
      </c>
    </row>
    <row r="73" spans="1:5" ht="20.5" thickBot="1" x14ac:dyDescent="0.4">
      <c r="A73" s="30"/>
      <c r="B73" s="30" t="s">
        <v>575</v>
      </c>
      <c r="C73" s="30" t="s">
        <v>576</v>
      </c>
      <c r="D73" s="30" t="s">
        <v>528</v>
      </c>
      <c r="E73" s="30" t="s">
        <v>470</v>
      </c>
    </row>
    <row r="74" spans="1:5" ht="40.5" thickBot="1" x14ac:dyDescent="0.4">
      <c r="A74" s="30"/>
      <c r="B74" s="30" t="s">
        <v>577</v>
      </c>
      <c r="C74" s="30" t="s">
        <v>461</v>
      </c>
      <c r="D74" s="30" t="s">
        <v>462</v>
      </c>
      <c r="E74" s="30" t="s">
        <v>470</v>
      </c>
    </row>
    <row r="75" spans="1:5" ht="15" thickBot="1" x14ac:dyDescent="0.4">
      <c r="A75" s="30"/>
      <c r="B75" s="30" t="s">
        <v>511</v>
      </c>
      <c r="C75" s="30" t="s">
        <v>578</v>
      </c>
      <c r="D75" s="30" t="s">
        <v>579</v>
      </c>
      <c r="E75" s="30" t="s">
        <v>470</v>
      </c>
    </row>
    <row r="76" spans="1:5" ht="15" thickBot="1" x14ac:dyDescent="0.4">
      <c r="A76" s="30"/>
      <c r="B76" s="30" t="s">
        <v>580</v>
      </c>
      <c r="C76" s="30" t="s">
        <v>581</v>
      </c>
      <c r="D76" s="30" t="s">
        <v>582</v>
      </c>
      <c r="E76" s="30" t="s">
        <v>470</v>
      </c>
    </row>
    <row r="77" spans="1:5" ht="15" thickBot="1" x14ac:dyDescent="0.4">
      <c r="A77" s="30"/>
      <c r="B77" s="30" t="s">
        <v>583</v>
      </c>
      <c r="C77" s="30" t="s">
        <v>584</v>
      </c>
      <c r="D77" s="30" t="s">
        <v>585</v>
      </c>
      <c r="E77" s="30" t="s">
        <v>470</v>
      </c>
    </row>
    <row r="78" spans="1:5" ht="20.5" thickBot="1" x14ac:dyDescent="0.4">
      <c r="A78" s="30"/>
      <c r="B78" s="30" t="s">
        <v>586</v>
      </c>
      <c r="C78" s="30" t="s">
        <v>587</v>
      </c>
      <c r="D78" s="30" t="s">
        <v>588</v>
      </c>
      <c r="E78" s="30" t="s">
        <v>470</v>
      </c>
    </row>
    <row r="79" spans="1:5" ht="20.5" thickBot="1" x14ac:dyDescent="0.4">
      <c r="A79" s="30"/>
      <c r="B79" s="30" t="s">
        <v>589</v>
      </c>
      <c r="C79" s="30" t="s">
        <v>461</v>
      </c>
      <c r="D79" s="30" t="s">
        <v>462</v>
      </c>
      <c r="E79" s="30" t="s">
        <v>470</v>
      </c>
    </row>
    <row r="80" spans="1:5" ht="15" thickBot="1" x14ac:dyDescent="0.4">
      <c r="A80" s="30"/>
      <c r="B80" s="30" t="s">
        <v>590</v>
      </c>
      <c r="C80" s="30" t="s">
        <v>446</v>
      </c>
      <c r="D80" s="30" t="s">
        <v>447</v>
      </c>
      <c r="E80" s="30" t="s">
        <v>591</v>
      </c>
    </row>
    <row r="81" spans="1:5" ht="15" thickBot="1" x14ac:dyDescent="0.4">
      <c r="A81" s="30"/>
      <c r="B81" s="30" t="s">
        <v>592</v>
      </c>
      <c r="C81" s="30" t="s">
        <v>461</v>
      </c>
      <c r="D81" s="30" t="s">
        <v>462</v>
      </c>
      <c r="E81" s="30" t="s">
        <v>591</v>
      </c>
    </row>
    <row r="82" spans="1:5" ht="20.5" thickBot="1" x14ac:dyDescent="0.4">
      <c r="A82" s="30"/>
      <c r="B82" s="30" t="s">
        <v>593</v>
      </c>
      <c r="C82" s="30" t="s">
        <v>500</v>
      </c>
      <c r="D82" s="30" t="s">
        <v>465</v>
      </c>
      <c r="E82" s="30" t="s">
        <v>470</v>
      </c>
    </row>
    <row r="83" spans="1:5" ht="15" thickBot="1" x14ac:dyDescent="0.4">
      <c r="A83" s="30"/>
      <c r="B83" s="30" t="s">
        <v>594</v>
      </c>
      <c r="C83" s="30" t="s">
        <v>461</v>
      </c>
      <c r="D83" s="30" t="s">
        <v>462</v>
      </c>
      <c r="E83" s="30" t="s">
        <v>470</v>
      </c>
    </row>
    <row r="84" spans="1:5" ht="30.5" thickBot="1" x14ac:dyDescent="0.4">
      <c r="A84" s="30"/>
      <c r="B84" s="30" t="s">
        <v>595</v>
      </c>
      <c r="C84" s="30" t="s">
        <v>544</v>
      </c>
      <c r="D84" s="30" t="s">
        <v>596</v>
      </c>
      <c r="E84" s="30" t="s">
        <v>470</v>
      </c>
    </row>
    <row r="85" spans="1:5" ht="15" thickBot="1" x14ac:dyDescent="0.4">
      <c r="A85" s="30"/>
      <c r="B85" s="30" t="s">
        <v>597</v>
      </c>
      <c r="C85" s="30" t="s">
        <v>437</v>
      </c>
      <c r="D85" s="30" t="s">
        <v>598</v>
      </c>
      <c r="E85" s="30" t="s">
        <v>470</v>
      </c>
    </row>
    <row r="86" spans="1:5" ht="15" thickBot="1" x14ac:dyDescent="0.4">
      <c r="A86" s="30"/>
      <c r="B86" s="30" t="s">
        <v>599</v>
      </c>
      <c r="C86" s="30" t="s">
        <v>600</v>
      </c>
      <c r="D86" s="30" t="s">
        <v>444</v>
      </c>
      <c r="E86" s="30" t="s">
        <v>470</v>
      </c>
    </row>
    <row r="87" spans="1:5" ht="20.5" thickBot="1" x14ac:dyDescent="0.4">
      <c r="A87" s="30"/>
      <c r="B87" s="30" t="s">
        <v>601</v>
      </c>
      <c r="C87" s="30" t="s">
        <v>602</v>
      </c>
      <c r="D87" s="30" t="s">
        <v>603</v>
      </c>
      <c r="E87" s="30" t="s">
        <v>470</v>
      </c>
    </row>
    <row r="88" spans="1:5" ht="15" thickBot="1" x14ac:dyDescent="0.4">
      <c r="A88" s="30"/>
      <c r="B88" s="30" t="s">
        <v>604</v>
      </c>
      <c r="C88" s="30" t="s">
        <v>605</v>
      </c>
      <c r="D88" s="30" t="s">
        <v>606</v>
      </c>
      <c r="E88" s="30" t="s">
        <v>470</v>
      </c>
    </row>
    <row r="89" spans="1:5" ht="15" thickBot="1" x14ac:dyDescent="0.4">
      <c r="A89" s="30"/>
      <c r="B89" s="30" t="s">
        <v>607</v>
      </c>
      <c r="C89" s="30" t="s">
        <v>608</v>
      </c>
      <c r="D89" s="30" t="s">
        <v>609</v>
      </c>
      <c r="E89" s="30" t="s">
        <v>470</v>
      </c>
    </row>
    <row r="90" spans="1:5" ht="15" thickBot="1" x14ac:dyDescent="0.4">
      <c r="A90" s="30"/>
      <c r="B90" s="30" t="s">
        <v>610</v>
      </c>
      <c r="C90" s="30" t="s">
        <v>449</v>
      </c>
      <c r="D90" s="30" t="s">
        <v>450</v>
      </c>
      <c r="E90" s="30" t="s">
        <v>470</v>
      </c>
    </row>
    <row r="91" spans="1:5" ht="15" thickBot="1" x14ac:dyDescent="0.4">
      <c r="A91" s="30"/>
      <c r="B91" s="30" t="s">
        <v>611</v>
      </c>
      <c r="C91" s="30" t="s">
        <v>544</v>
      </c>
      <c r="D91" s="30" t="s">
        <v>596</v>
      </c>
      <c r="E91" s="30" t="s">
        <v>470</v>
      </c>
    </row>
    <row r="92" spans="1:5" ht="15" thickBot="1" x14ac:dyDescent="0.4">
      <c r="A92" s="30"/>
      <c r="B92" s="30" t="s">
        <v>612</v>
      </c>
      <c r="C92" s="30" t="s">
        <v>524</v>
      </c>
      <c r="D92" s="30" t="s">
        <v>613</v>
      </c>
      <c r="E92" s="30" t="s">
        <v>470</v>
      </c>
    </row>
    <row r="93" spans="1:5" ht="15" thickBot="1" x14ac:dyDescent="0.4">
      <c r="A93" s="30"/>
      <c r="B93" s="30" t="s">
        <v>614</v>
      </c>
      <c r="C93" s="30" t="s">
        <v>437</v>
      </c>
      <c r="D93" s="30" t="s">
        <v>598</v>
      </c>
      <c r="E93" s="30" t="s">
        <v>470</v>
      </c>
    </row>
    <row r="94" spans="1:5" ht="15" thickBot="1" x14ac:dyDescent="0.4">
      <c r="A94" s="30"/>
      <c r="B94" s="30" t="s">
        <v>615</v>
      </c>
      <c r="C94" s="30" t="s">
        <v>505</v>
      </c>
      <c r="D94" s="30" t="s">
        <v>616</v>
      </c>
      <c r="E94" s="30" t="s">
        <v>470</v>
      </c>
    </row>
    <row r="95" spans="1:5" ht="15" thickBot="1" x14ac:dyDescent="0.4">
      <c r="A95" s="30"/>
      <c r="B95" s="30" t="s">
        <v>617</v>
      </c>
      <c r="C95" s="30" t="s">
        <v>618</v>
      </c>
      <c r="D95" s="30" t="s">
        <v>619</v>
      </c>
      <c r="E95" s="30" t="s">
        <v>470</v>
      </c>
    </row>
    <row r="96" spans="1:5" ht="15" thickBot="1" x14ac:dyDescent="0.4">
      <c r="A96" s="30"/>
      <c r="B96" s="30" t="s">
        <v>620</v>
      </c>
      <c r="C96" s="30" t="s">
        <v>621</v>
      </c>
      <c r="D96" s="30" t="s">
        <v>622</v>
      </c>
      <c r="E96" s="30" t="s">
        <v>470</v>
      </c>
    </row>
    <row r="97" spans="1:5" ht="15" thickBot="1" x14ac:dyDescent="0.4">
      <c r="A97" s="30"/>
      <c r="B97" s="30" t="s">
        <v>623</v>
      </c>
      <c r="C97" s="30" t="s">
        <v>624</v>
      </c>
      <c r="D97" s="30" t="s">
        <v>625</v>
      </c>
      <c r="E97" s="30" t="s">
        <v>470</v>
      </c>
    </row>
    <row r="98" spans="1:5" ht="15" thickBot="1" x14ac:dyDescent="0.4">
      <c r="A98" s="30"/>
      <c r="B98" s="30" t="s">
        <v>626</v>
      </c>
      <c r="C98" s="30" t="s">
        <v>524</v>
      </c>
      <c r="D98" s="30" t="s">
        <v>613</v>
      </c>
      <c r="E98" s="30" t="s">
        <v>470</v>
      </c>
    </row>
    <row r="99" spans="1:5" ht="15" thickBot="1" x14ac:dyDescent="0.4">
      <c r="A99" s="30"/>
      <c r="B99" s="30" t="s">
        <v>627</v>
      </c>
      <c r="C99" s="30" t="s">
        <v>461</v>
      </c>
      <c r="D99" s="30" t="s">
        <v>462</v>
      </c>
      <c r="E99" s="30" t="s">
        <v>470</v>
      </c>
    </row>
    <row r="100" spans="1:5" ht="15" thickBot="1" x14ac:dyDescent="0.4">
      <c r="A100" s="30"/>
      <c r="B100" s="30" t="s">
        <v>628</v>
      </c>
      <c r="C100" s="30" t="s">
        <v>629</v>
      </c>
      <c r="D100" s="30" t="s">
        <v>630</v>
      </c>
      <c r="E100" s="30" t="s">
        <v>470</v>
      </c>
    </row>
    <row r="101" spans="1:5" ht="15" thickBot="1" x14ac:dyDescent="0.4">
      <c r="A101" s="30"/>
      <c r="B101" s="30" t="s">
        <v>631</v>
      </c>
      <c r="C101" s="30" t="s">
        <v>632</v>
      </c>
      <c r="D101" s="30" t="s">
        <v>565</v>
      </c>
      <c r="E101" s="30" t="s">
        <v>470</v>
      </c>
    </row>
    <row r="102" spans="1:5" ht="15" thickBot="1" x14ac:dyDescent="0.4">
      <c r="A102" s="30"/>
      <c r="B102" s="30" t="s">
        <v>633</v>
      </c>
      <c r="C102" s="30" t="s">
        <v>634</v>
      </c>
      <c r="D102" s="30" t="s">
        <v>635</v>
      </c>
      <c r="E102" s="30" t="s">
        <v>470</v>
      </c>
    </row>
    <row r="103" spans="1:5" ht="15" thickBot="1" x14ac:dyDescent="0.4">
      <c r="A103" s="30"/>
      <c r="B103" s="30" t="s">
        <v>636</v>
      </c>
      <c r="C103" s="30" t="s">
        <v>578</v>
      </c>
      <c r="D103" s="30" t="s">
        <v>637</v>
      </c>
      <c r="E103" s="30" t="s">
        <v>470</v>
      </c>
    </row>
    <row r="104" spans="1:5" ht="15" thickBot="1" x14ac:dyDescent="0.4">
      <c r="A104" s="30"/>
      <c r="B104" s="30" t="s">
        <v>638</v>
      </c>
      <c r="C104" s="30" t="s">
        <v>584</v>
      </c>
      <c r="D104" s="30" t="s">
        <v>585</v>
      </c>
      <c r="E104" s="30" t="s">
        <v>470</v>
      </c>
    </row>
    <row r="105" spans="1:5" ht="15" thickBot="1" x14ac:dyDescent="0.4">
      <c r="A105" s="30"/>
      <c r="B105" s="30" t="s">
        <v>639</v>
      </c>
      <c r="C105" s="30" t="s">
        <v>640</v>
      </c>
      <c r="D105" s="30" t="s">
        <v>641</v>
      </c>
      <c r="E105" s="30" t="s">
        <v>470</v>
      </c>
    </row>
    <row r="106" spans="1:5" ht="15" thickBot="1" x14ac:dyDescent="0.4">
      <c r="A106" s="30"/>
      <c r="B106" s="30" t="s">
        <v>642</v>
      </c>
      <c r="C106" s="30" t="s">
        <v>643</v>
      </c>
      <c r="D106" s="30" t="s">
        <v>644</v>
      </c>
      <c r="E106" s="30" t="s">
        <v>470</v>
      </c>
    </row>
    <row r="107" spans="1:5" ht="15" thickBot="1" x14ac:dyDescent="0.4">
      <c r="A107" s="30"/>
      <c r="B107" s="30" t="s">
        <v>645</v>
      </c>
      <c r="C107" s="30" t="s">
        <v>646</v>
      </c>
      <c r="D107" s="30" t="s">
        <v>647</v>
      </c>
      <c r="E107" s="30" t="s">
        <v>470</v>
      </c>
    </row>
    <row r="108" spans="1:5" ht="20.5" thickBot="1" x14ac:dyDescent="0.4">
      <c r="A108" s="30"/>
      <c r="B108" s="30" t="s">
        <v>648</v>
      </c>
      <c r="C108" s="30" t="s">
        <v>551</v>
      </c>
      <c r="D108" s="30" t="s">
        <v>649</v>
      </c>
      <c r="E108" s="30" t="s">
        <v>470</v>
      </c>
    </row>
    <row r="109" spans="1:5" ht="33" thickBot="1" x14ac:dyDescent="0.4">
      <c r="A109" s="29" t="s">
        <v>650</v>
      </c>
      <c r="B109" s="28"/>
      <c r="C109" s="28"/>
      <c r="D109" s="28"/>
      <c r="E109" s="28"/>
    </row>
    <row r="110" spans="1:5" ht="20.5" thickBot="1" x14ac:dyDescent="0.4">
      <c r="A110" s="30"/>
      <c r="B110" s="30" t="s">
        <v>651</v>
      </c>
      <c r="C110" s="30" t="s">
        <v>652</v>
      </c>
      <c r="D110" s="30" t="s">
        <v>653</v>
      </c>
      <c r="E110" s="30" t="s">
        <v>654</v>
      </c>
    </row>
    <row r="111" spans="1:5" ht="30.5" thickBot="1" x14ac:dyDescent="0.4">
      <c r="A111" s="30"/>
      <c r="B111" s="30" t="s">
        <v>655</v>
      </c>
      <c r="C111" s="30" t="s">
        <v>656</v>
      </c>
      <c r="D111" s="30" t="s">
        <v>657</v>
      </c>
      <c r="E111" s="30" t="s">
        <v>654</v>
      </c>
    </row>
    <row r="112" spans="1:5" ht="30.5" thickBot="1" x14ac:dyDescent="0.4">
      <c r="A112" s="30"/>
      <c r="B112" s="30" t="s">
        <v>658</v>
      </c>
      <c r="C112" s="30" t="s">
        <v>475</v>
      </c>
      <c r="D112" s="30" t="s">
        <v>476</v>
      </c>
      <c r="E112" s="30" t="s">
        <v>654</v>
      </c>
    </row>
    <row r="113" spans="1:5" ht="20.5" thickBot="1" x14ac:dyDescent="0.4">
      <c r="A113" s="30"/>
      <c r="B113" s="30" t="s">
        <v>659</v>
      </c>
      <c r="C113" s="30" t="s">
        <v>475</v>
      </c>
      <c r="D113" s="30" t="s">
        <v>476</v>
      </c>
      <c r="E113" s="30" t="s">
        <v>654</v>
      </c>
    </row>
    <row r="114" spans="1:5" ht="15" thickBot="1" x14ac:dyDescent="0.4">
      <c r="A114" s="30"/>
      <c r="B114" s="30" t="s">
        <v>660</v>
      </c>
      <c r="C114" s="30" t="s">
        <v>661</v>
      </c>
      <c r="D114" s="30" t="s">
        <v>613</v>
      </c>
      <c r="E114" s="30" t="s">
        <v>654</v>
      </c>
    </row>
    <row r="115" spans="1:5" ht="15" thickBot="1" x14ac:dyDescent="0.4">
      <c r="A115" s="30"/>
      <c r="B115" s="30" t="s">
        <v>662</v>
      </c>
      <c r="C115" s="30" t="s">
        <v>497</v>
      </c>
      <c r="D115" s="30" t="s">
        <v>663</v>
      </c>
      <c r="E115" s="30" t="s">
        <v>654</v>
      </c>
    </row>
    <row r="116" spans="1:5" ht="15" thickBot="1" x14ac:dyDescent="0.4">
      <c r="A116" s="30"/>
      <c r="B116" s="30" t="s">
        <v>664</v>
      </c>
      <c r="C116" s="30" t="s">
        <v>449</v>
      </c>
      <c r="D116" s="30" t="s">
        <v>450</v>
      </c>
      <c r="E116" s="30" t="s">
        <v>654</v>
      </c>
    </row>
    <row r="117" spans="1:5" ht="33" thickBot="1" x14ac:dyDescent="0.4">
      <c r="A117" s="29" t="s">
        <v>665</v>
      </c>
      <c r="B117" s="28"/>
      <c r="C117" s="28"/>
      <c r="D117" s="28"/>
      <c r="E117" s="28"/>
    </row>
    <row r="118" spans="1:5" ht="15" thickBot="1" x14ac:dyDescent="0.4">
      <c r="A118" s="30"/>
      <c r="B118" s="30" t="s">
        <v>666</v>
      </c>
      <c r="C118" s="30" t="s">
        <v>667</v>
      </c>
      <c r="D118" s="30" t="s">
        <v>668</v>
      </c>
      <c r="E118" s="30" t="s">
        <v>654</v>
      </c>
    </row>
    <row r="119" spans="1:5" ht="15" thickBot="1" x14ac:dyDescent="0.4">
      <c r="A119" s="30"/>
      <c r="B119" s="30" t="s">
        <v>669</v>
      </c>
      <c r="C119" s="30" t="s">
        <v>670</v>
      </c>
      <c r="D119" s="30" t="s">
        <v>671</v>
      </c>
      <c r="E119" s="30" t="s">
        <v>654</v>
      </c>
    </row>
    <row r="120" spans="1:5" ht="33" thickBot="1" x14ac:dyDescent="0.4">
      <c r="A120" s="29" t="s">
        <v>672</v>
      </c>
      <c r="B120" s="28"/>
      <c r="C120" s="28"/>
      <c r="D120" s="28"/>
      <c r="E120" s="28"/>
    </row>
    <row r="121" spans="1:5" ht="20.5" thickBot="1" x14ac:dyDescent="0.4">
      <c r="A121" s="30"/>
      <c r="B121" s="30" t="s">
        <v>673</v>
      </c>
      <c r="C121" s="30" t="s">
        <v>670</v>
      </c>
      <c r="D121" s="30" t="s">
        <v>671</v>
      </c>
      <c r="E121" s="30" t="s">
        <v>654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9BB3C5-0556-4268-9014-30761053E168}">
  <sheetPr codeName="Sheet8"/>
  <dimension ref="A1:I46"/>
  <sheetViews>
    <sheetView workbookViewId="0">
      <selection activeCell="D2" sqref="D2"/>
    </sheetView>
  </sheetViews>
  <sheetFormatPr defaultRowHeight="14.5" x14ac:dyDescent="0.35"/>
  <cols>
    <col min="2" max="2" width="48.26953125" customWidth="1"/>
  </cols>
  <sheetData>
    <row r="1" spans="1:9" ht="85.5" thickBot="1" x14ac:dyDescent="0.4">
      <c r="A1" s="42" t="s">
        <v>674</v>
      </c>
      <c r="B1" s="42" t="s">
        <v>675</v>
      </c>
      <c r="C1" s="15" t="s">
        <v>676</v>
      </c>
      <c r="D1" s="15" t="s">
        <v>677</v>
      </c>
      <c r="E1" s="14"/>
      <c r="I1" s="6" t="s">
        <v>678</v>
      </c>
    </row>
    <row r="2" spans="1:9" ht="106.5" thickBot="1" x14ac:dyDescent="0.4">
      <c r="A2" s="43"/>
      <c r="B2" s="43"/>
      <c r="C2" s="15" t="s">
        <v>679</v>
      </c>
      <c r="D2" s="15" t="s">
        <v>680</v>
      </c>
      <c r="E2" s="14"/>
    </row>
    <row r="3" spans="1:9" ht="15" thickBot="1" x14ac:dyDescent="0.4">
      <c r="A3" s="36">
        <v>1</v>
      </c>
      <c r="B3" s="38" t="s">
        <v>681</v>
      </c>
      <c r="C3" s="39"/>
      <c r="D3" s="39"/>
      <c r="E3" s="40"/>
    </row>
    <row r="4" spans="1:9" ht="15" thickBot="1" x14ac:dyDescent="0.4">
      <c r="A4" s="41"/>
      <c r="B4" s="16" t="s">
        <v>682</v>
      </c>
      <c r="C4" s="16">
        <v>30000</v>
      </c>
      <c r="D4" s="16">
        <v>24000</v>
      </c>
      <c r="E4" s="14"/>
    </row>
    <row r="5" spans="1:9" ht="15" thickBot="1" x14ac:dyDescent="0.4">
      <c r="A5" s="41"/>
      <c r="B5" s="16" t="s">
        <v>683</v>
      </c>
      <c r="C5" s="16">
        <v>40000</v>
      </c>
      <c r="D5" s="16">
        <v>32000</v>
      </c>
      <c r="E5" s="14"/>
    </row>
    <row r="6" spans="1:9" ht="15" thickBot="1" x14ac:dyDescent="0.4">
      <c r="A6" s="41"/>
      <c r="B6" s="16" t="s">
        <v>684</v>
      </c>
      <c r="C6" s="16">
        <v>75000</v>
      </c>
      <c r="D6" s="16">
        <v>60000</v>
      </c>
      <c r="E6" s="14"/>
    </row>
    <row r="7" spans="1:9" ht="15" thickBot="1" x14ac:dyDescent="0.4">
      <c r="A7" s="37"/>
      <c r="B7" s="16" t="s">
        <v>685</v>
      </c>
      <c r="C7" s="16">
        <v>85000</v>
      </c>
      <c r="D7" s="16">
        <v>68000</v>
      </c>
      <c r="E7" s="14"/>
    </row>
    <row r="8" spans="1:9" ht="15" thickBot="1" x14ac:dyDescent="0.4">
      <c r="A8" s="17">
        <v>2</v>
      </c>
      <c r="B8" s="17" t="s">
        <v>686</v>
      </c>
      <c r="C8" s="16">
        <v>155000</v>
      </c>
      <c r="D8" s="16">
        <v>124000</v>
      </c>
      <c r="E8" s="14"/>
    </row>
    <row r="9" spans="1:9" ht="15" thickBot="1" x14ac:dyDescent="0.4">
      <c r="A9" s="36">
        <v>3</v>
      </c>
      <c r="B9" s="38" t="s">
        <v>687</v>
      </c>
      <c r="C9" s="39"/>
      <c r="D9" s="39"/>
      <c r="E9" s="40"/>
    </row>
    <row r="10" spans="1:9" ht="15" thickBot="1" x14ac:dyDescent="0.4">
      <c r="A10" s="41"/>
      <c r="B10" s="16" t="s">
        <v>688</v>
      </c>
      <c r="C10" s="16">
        <v>275000</v>
      </c>
      <c r="D10" s="16">
        <v>220000</v>
      </c>
      <c r="E10" s="14"/>
    </row>
    <row r="11" spans="1:9" ht="15" thickBot="1" x14ac:dyDescent="0.4">
      <c r="A11" s="37"/>
      <c r="B11" s="16" t="s">
        <v>689</v>
      </c>
      <c r="C11" s="16">
        <v>325000</v>
      </c>
      <c r="D11" s="16">
        <v>260000</v>
      </c>
      <c r="E11" s="14"/>
    </row>
    <row r="12" spans="1:9" ht="15" thickBot="1" x14ac:dyDescent="0.4">
      <c r="A12" s="36">
        <v>4</v>
      </c>
      <c r="B12" s="38" t="s">
        <v>690</v>
      </c>
      <c r="C12" s="39"/>
      <c r="D12" s="39"/>
      <c r="E12" s="40"/>
    </row>
    <row r="13" spans="1:9" ht="15" thickBot="1" x14ac:dyDescent="0.4">
      <c r="A13" s="41"/>
      <c r="B13" s="16" t="s">
        <v>691</v>
      </c>
      <c r="C13" s="16">
        <v>50000</v>
      </c>
      <c r="D13" s="16">
        <v>40000</v>
      </c>
      <c r="E13" s="14"/>
    </row>
    <row r="14" spans="1:9" ht="15" thickBot="1" x14ac:dyDescent="0.4">
      <c r="A14" s="41"/>
      <c r="B14" s="16" t="s">
        <v>692</v>
      </c>
      <c r="C14" s="16">
        <v>75000</v>
      </c>
      <c r="D14" s="16">
        <v>60000</v>
      </c>
      <c r="E14" s="14"/>
    </row>
    <row r="15" spans="1:9" ht="15" thickBot="1" x14ac:dyDescent="0.4">
      <c r="A15" s="37"/>
      <c r="B15" s="16" t="s">
        <v>693</v>
      </c>
      <c r="C15" s="16">
        <v>10000</v>
      </c>
      <c r="D15" s="16">
        <v>8000</v>
      </c>
      <c r="E15" s="14"/>
    </row>
    <row r="16" spans="1:9" ht="21.5" thickBot="1" x14ac:dyDescent="0.4">
      <c r="A16" s="17">
        <v>5</v>
      </c>
      <c r="B16" s="17" t="s">
        <v>694</v>
      </c>
      <c r="C16" s="16">
        <v>300000</v>
      </c>
      <c r="D16" s="16">
        <v>240000</v>
      </c>
      <c r="E16" s="14"/>
    </row>
    <row r="17" spans="1:5" ht="15" thickBot="1" x14ac:dyDescent="0.4">
      <c r="A17" s="17">
        <v>6</v>
      </c>
      <c r="B17" s="17" t="s">
        <v>695</v>
      </c>
      <c r="C17" s="16">
        <v>2000</v>
      </c>
      <c r="D17" s="16">
        <v>1600</v>
      </c>
      <c r="E17" s="14"/>
    </row>
    <row r="18" spans="1:5" ht="15" thickBot="1" x14ac:dyDescent="0.4">
      <c r="A18" s="17">
        <v>7</v>
      </c>
      <c r="B18" s="17" t="s">
        <v>696</v>
      </c>
      <c r="C18" s="16">
        <v>17500</v>
      </c>
      <c r="D18" s="16">
        <v>14000</v>
      </c>
      <c r="E18" s="14"/>
    </row>
    <row r="19" spans="1:5" ht="15" thickBot="1" x14ac:dyDescent="0.4">
      <c r="A19" s="17">
        <v>8</v>
      </c>
      <c r="B19" s="17" t="s">
        <v>697</v>
      </c>
      <c r="C19" s="16">
        <v>600000</v>
      </c>
      <c r="D19" s="16">
        <v>480000</v>
      </c>
      <c r="E19" s="14"/>
    </row>
    <row r="20" spans="1:5" ht="15" thickBot="1" x14ac:dyDescent="0.4">
      <c r="A20" s="36">
        <v>9</v>
      </c>
      <c r="B20" s="38" t="s">
        <v>698</v>
      </c>
      <c r="C20" s="39"/>
      <c r="D20" s="39"/>
      <c r="E20" s="40"/>
    </row>
    <row r="21" spans="1:5" ht="15" thickBot="1" x14ac:dyDescent="0.4">
      <c r="A21" s="41"/>
      <c r="B21" s="16" t="s">
        <v>699</v>
      </c>
      <c r="C21" s="16">
        <v>7500</v>
      </c>
      <c r="D21" s="16">
        <v>6000</v>
      </c>
      <c r="E21" s="14"/>
    </row>
    <row r="22" spans="1:5" ht="15" thickBot="1" x14ac:dyDescent="0.4">
      <c r="A22" s="37"/>
      <c r="B22" s="16" t="s">
        <v>700</v>
      </c>
      <c r="C22" s="16">
        <v>10000</v>
      </c>
      <c r="D22" s="16">
        <v>8000</v>
      </c>
      <c r="E22" s="14"/>
    </row>
    <row r="23" spans="1:5" ht="15" thickBot="1" x14ac:dyDescent="0.4">
      <c r="A23" s="36">
        <v>10</v>
      </c>
      <c r="B23" s="38" t="s">
        <v>701</v>
      </c>
      <c r="C23" s="39"/>
      <c r="D23" s="39"/>
      <c r="E23" s="40"/>
    </row>
    <row r="24" spans="1:5" ht="15" thickBot="1" x14ac:dyDescent="0.4">
      <c r="A24" s="41"/>
      <c r="B24" s="16" t="s">
        <v>702</v>
      </c>
      <c r="C24" s="16">
        <v>35000</v>
      </c>
      <c r="D24" s="16">
        <v>28000</v>
      </c>
      <c r="E24" s="14"/>
    </row>
    <row r="25" spans="1:5" ht="15" thickBot="1" x14ac:dyDescent="0.4">
      <c r="A25" s="37"/>
      <c r="B25" s="16" t="s">
        <v>703</v>
      </c>
      <c r="C25" s="16">
        <v>40000</v>
      </c>
      <c r="D25" s="16">
        <v>32000</v>
      </c>
      <c r="E25" s="14"/>
    </row>
    <row r="26" spans="1:5" ht="15" thickBot="1" x14ac:dyDescent="0.4">
      <c r="A26" s="36">
        <v>11</v>
      </c>
      <c r="B26" s="38" t="s">
        <v>704</v>
      </c>
      <c r="C26" s="39"/>
      <c r="D26" s="39"/>
      <c r="E26" s="40"/>
    </row>
    <row r="27" spans="1:5" ht="15" thickBot="1" x14ac:dyDescent="0.4">
      <c r="A27" s="37"/>
      <c r="B27" s="16" t="s">
        <v>705</v>
      </c>
      <c r="C27" s="16">
        <v>125000</v>
      </c>
      <c r="D27" s="16">
        <v>100000</v>
      </c>
      <c r="E27" s="14"/>
    </row>
    <row r="28" spans="1:5" ht="15" thickBot="1" x14ac:dyDescent="0.4">
      <c r="A28" s="17">
        <v>12</v>
      </c>
      <c r="B28" s="17" t="s">
        <v>706</v>
      </c>
      <c r="C28" s="16">
        <v>12500</v>
      </c>
      <c r="D28" s="16">
        <v>10000</v>
      </c>
      <c r="E28" s="14"/>
    </row>
    <row r="29" spans="1:5" ht="15" thickBot="1" x14ac:dyDescent="0.4">
      <c r="A29" s="17">
        <v>13</v>
      </c>
      <c r="B29" s="17" t="s">
        <v>707</v>
      </c>
      <c r="C29" s="16">
        <v>30000</v>
      </c>
      <c r="D29" s="16">
        <v>24000</v>
      </c>
      <c r="E29" s="14"/>
    </row>
    <row r="30" spans="1:5" ht="15" thickBot="1" x14ac:dyDescent="0.4">
      <c r="A30" s="17">
        <v>14</v>
      </c>
      <c r="B30" s="17" t="s">
        <v>708</v>
      </c>
      <c r="C30" s="16">
        <v>30000</v>
      </c>
      <c r="D30" s="16">
        <v>24000</v>
      </c>
      <c r="E30" s="14"/>
    </row>
    <row r="31" spans="1:5" ht="15" thickBot="1" x14ac:dyDescent="0.4">
      <c r="A31" s="17">
        <v>15</v>
      </c>
      <c r="B31" s="17" t="s">
        <v>709</v>
      </c>
      <c r="C31" s="16">
        <v>200000</v>
      </c>
      <c r="D31" s="16">
        <v>160000</v>
      </c>
      <c r="E31" s="14"/>
    </row>
    <row r="32" spans="1:5" ht="15" thickBot="1" x14ac:dyDescent="0.4">
      <c r="A32" s="36">
        <v>16</v>
      </c>
      <c r="B32" s="38" t="s">
        <v>710</v>
      </c>
      <c r="C32" s="39"/>
      <c r="D32" s="39"/>
      <c r="E32" s="40"/>
    </row>
    <row r="33" spans="1:5" ht="15" thickBot="1" x14ac:dyDescent="0.4">
      <c r="A33" s="41"/>
      <c r="B33" s="16" t="s">
        <v>711</v>
      </c>
      <c r="C33" s="16">
        <v>45000</v>
      </c>
      <c r="D33" s="16">
        <v>36000</v>
      </c>
      <c r="E33" s="14"/>
    </row>
    <row r="34" spans="1:5" ht="15" thickBot="1" x14ac:dyDescent="0.4">
      <c r="A34" s="37"/>
      <c r="B34" s="16" t="s">
        <v>712</v>
      </c>
      <c r="C34" s="16">
        <v>65000</v>
      </c>
      <c r="D34" s="16">
        <v>52000</v>
      </c>
      <c r="E34" s="14"/>
    </row>
    <row r="35" spans="1:5" ht="15" thickBot="1" x14ac:dyDescent="0.4">
      <c r="A35" s="17">
        <v>17</v>
      </c>
      <c r="B35" s="17" t="s">
        <v>713</v>
      </c>
      <c r="C35" s="16">
        <v>87500</v>
      </c>
      <c r="D35" s="16">
        <v>70000</v>
      </c>
      <c r="E35" s="14"/>
    </row>
    <row r="36" spans="1:5" ht="15" thickBot="1" x14ac:dyDescent="0.4">
      <c r="A36" s="17">
        <v>18</v>
      </c>
      <c r="B36" s="17" t="s">
        <v>410</v>
      </c>
      <c r="C36" s="16">
        <v>37500</v>
      </c>
      <c r="D36" s="16">
        <v>30000</v>
      </c>
      <c r="E36" s="14"/>
    </row>
    <row r="37" spans="1:5" ht="15" thickBot="1" x14ac:dyDescent="0.4">
      <c r="A37" s="17">
        <v>19</v>
      </c>
      <c r="B37" s="17" t="s">
        <v>714</v>
      </c>
      <c r="C37" s="16">
        <v>17500</v>
      </c>
      <c r="D37" s="16">
        <v>14000</v>
      </c>
      <c r="E37" s="14"/>
    </row>
    <row r="38" spans="1:5" ht="15" thickBot="1" x14ac:dyDescent="0.4">
      <c r="A38" s="17">
        <v>20</v>
      </c>
      <c r="B38" s="17" t="s">
        <v>715</v>
      </c>
      <c r="C38" s="16">
        <v>22500</v>
      </c>
      <c r="D38" s="16">
        <v>18000</v>
      </c>
      <c r="E38" s="14"/>
    </row>
    <row r="39" spans="1:5" ht="15" thickBot="1" x14ac:dyDescent="0.4">
      <c r="A39" s="17">
        <v>21</v>
      </c>
      <c r="B39" s="17" t="s">
        <v>716</v>
      </c>
      <c r="C39" s="16">
        <v>900000</v>
      </c>
      <c r="D39" s="16">
        <v>720000</v>
      </c>
      <c r="E39" s="14"/>
    </row>
    <row r="40" spans="1:5" ht="15" thickBot="1" x14ac:dyDescent="0.4">
      <c r="A40" s="17">
        <v>22</v>
      </c>
      <c r="B40" s="17" t="s">
        <v>220</v>
      </c>
      <c r="C40" s="16">
        <v>125000</v>
      </c>
      <c r="D40" s="16">
        <v>100000</v>
      </c>
      <c r="E40" s="14"/>
    </row>
    <row r="41" spans="1:5" ht="15" thickBot="1" x14ac:dyDescent="0.4">
      <c r="A41" s="36">
        <v>23</v>
      </c>
      <c r="B41" s="38" t="s">
        <v>359</v>
      </c>
      <c r="C41" s="39"/>
      <c r="D41" s="39"/>
      <c r="E41" s="40"/>
    </row>
    <row r="42" spans="1:5" ht="15" thickBot="1" x14ac:dyDescent="0.4">
      <c r="A42" s="41"/>
      <c r="B42" s="16" t="s">
        <v>717</v>
      </c>
      <c r="C42" s="16">
        <v>40000</v>
      </c>
      <c r="D42" s="16">
        <v>32000</v>
      </c>
      <c r="E42" s="14"/>
    </row>
    <row r="43" spans="1:5" ht="15" thickBot="1" x14ac:dyDescent="0.4">
      <c r="A43" s="41"/>
      <c r="B43" s="16" t="s">
        <v>718</v>
      </c>
      <c r="C43" s="16">
        <v>45000</v>
      </c>
      <c r="D43" s="16">
        <v>36000</v>
      </c>
      <c r="E43" s="14"/>
    </row>
    <row r="44" spans="1:5" ht="15" thickBot="1" x14ac:dyDescent="0.4">
      <c r="A44" s="37"/>
      <c r="B44" s="16" t="s">
        <v>719</v>
      </c>
      <c r="C44" s="16">
        <v>50000</v>
      </c>
      <c r="D44" s="16">
        <v>40000</v>
      </c>
      <c r="E44" s="14"/>
    </row>
    <row r="45" spans="1:5" ht="15" thickBot="1" x14ac:dyDescent="0.4">
      <c r="A45" s="17">
        <v>24</v>
      </c>
      <c r="B45" s="17" t="s">
        <v>720</v>
      </c>
      <c r="C45" s="16">
        <v>50000</v>
      </c>
      <c r="D45" s="16">
        <v>40000</v>
      </c>
      <c r="E45" s="14"/>
    </row>
    <row r="46" spans="1:5" ht="15" thickBot="1" x14ac:dyDescent="0.4">
      <c r="A46" s="17">
        <v>25</v>
      </c>
      <c r="B46" s="17" t="s">
        <v>374</v>
      </c>
      <c r="C46" s="16">
        <v>25000</v>
      </c>
      <c r="D46" s="16">
        <v>20000</v>
      </c>
      <c r="E46" s="14"/>
    </row>
  </sheetData>
  <mergeCells count="18">
    <mergeCell ref="A1:A2"/>
    <mergeCell ref="B1:B2"/>
    <mergeCell ref="A3:A7"/>
    <mergeCell ref="B3:E3"/>
    <mergeCell ref="A9:A11"/>
    <mergeCell ref="B9:E9"/>
    <mergeCell ref="A12:A15"/>
    <mergeCell ref="B12:E12"/>
    <mergeCell ref="A20:A22"/>
    <mergeCell ref="B20:E20"/>
    <mergeCell ref="A23:A25"/>
    <mergeCell ref="B23:E23"/>
    <mergeCell ref="A26:A27"/>
    <mergeCell ref="B26:E26"/>
    <mergeCell ref="A32:A34"/>
    <mergeCell ref="B32:E32"/>
    <mergeCell ref="A41:A44"/>
    <mergeCell ref="B41:E41"/>
  </mergeCells>
  <hyperlinks>
    <hyperlink ref="I1" r:id="rId1" location=":~:text=State%20of%20Haryana%20is%20promoting,on%20Agricultural%20Mechanization%20(SMAM)." display="https://agriharyana.gov.in/MechSMAMScheme.aspx - :~:text=State%20of%20Haryana%20is%20promoting,on%20Agricultural%20Mechanization%20(SMAM)." xr:uid="{2EA7F027-772C-45EA-ABB9-79FEDBC2D5E6}"/>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240DA4-28DE-457D-9F07-8C0497502468}">
  <sheetPr codeName="Sheet9"/>
  <dimension ref="A1:D14"/>
  <sheetViews>
    <sheetView workbookViewId="0">
      <selection activeCell="A11" sqref="A11:XFD11"/>
    </sheetView>
  </sheetViews>
  <sheetFormatPr defaultRowHeight="14.5" x14ac:dyDescent="0.35"/>
  <cols>
    <col min="2" max="2" width="26.453125" bestFit="1" customWidth="1"/>
  </cols>
  <sheetData>
    <row r="1" spans="1:4" x14ac:dyDescent="0.35">
      <c r="A1" s="6" t="s">
        <v>721</v>
      </c>
    </row>
    <row r="2" spans="1:4" x14ac:dyDescent="0.35">
      <c r="A2" t="s">
        <v>722</v>
      </c>
    </row>
    <row r="4" spans="1:4" x14ac:dyDescent="0.35">
      <c r="B4" t="s">
        <v>411</v>
      </c>
      <c r="C4" t="s">
        <v>723</v>
      </c>
      <c r="D4" t="s">
        <v>724</v>
      </c>
    </row>
    <row r="5" spans="1:4" x14ac:dyDescent="0.35">
      <c r="B5" t="s">
        <v>14</v>
      </c>
      <c r="C5" s="7">
        <v>0.5</v>
      </c>
      <c r="D5" s="7">
        <v>0.4</v>
      </c>
    </row>
    <row r="6" spans="1:4" x14ac:dyDescent="0.35">
      <c r="B6" t="s">
        <v>725</v>
      </c>
      <c r="C6" s="7">
        <v>0.5</v>
      </c>
      <c r="D6" s="7">
        <v>0.4</v>
      </c>
    </row>
    <row r="7" spans="1:4" x14ac:dyDescent="0.35">
      <c r="B7" t="s">
        <v>726</v>
      </c>
      <c r="C7" s="7">
        <v>0.5</v>
      </c>
      <c r="D7" s="7">
        <v>0.4</v>
      </c>
    </row>
    <row r="8" spans="1:4" x14ac:dyDescent="0.35">
      <c r="B8" t="s">
        <v>727</v>
      </c>
      <c r="C8" s="7">
        <v>0.5</v>
      </c>
      <c r="D8" s="7">
        <v>0.4</v>
      </c>
    </row>
    <row r="9" spans="1:4" x14ac:dyDescent="0.35">
      <c r="B9" t="s">
        <v>728</v>
      </c>
      <c r="C9" s="7">
        <v>0.5</v>
      </c>
      <c r="D9" s="7">
        <v>0.4</v>
      </c>
    </row>
    <row r="10" spans="1:4" x14ac:dyDescent="0.35">
      <c r="B10" t="s">
        <v>729</v>
      </c>
      <c r="C10" s="7">
        <v>0.5</v>
      </c>
      <c r="D10" s="7">
        <v>0.4</v>
      </c>
    </row>
    <row r="11" spans="1:4" x14ac:dyDescent="0.35">
      <c r="B11" t="s">
        <v>730</v>
      </c>
      <c r="C11" s="7">
        <v>0.5</v>
      </c>
      <c r="D11" s="7">
        <v>0.4</v>
      </c>
    </row>
    <row r="12" spans="1:4" x14ac:dyDescent="0.35">
      <c r="B12" t="s">
        <v>731</v>
      </c>
      <c r="C12" s="7">
        <v>0.5</v>
      </c>
      <c r="D12" s="7">
        <v>0.4</v>
      </c>
    </row>
    <row r="13" spans="1:4" x14ac:dyDescent="0.35">
      <c r="B13" t="s">
        <v>732</v>
      </c>
      <c r="C13" s="7">
        <v>0.5</v>
      </c>
      <c r="D13" s="7">
        <v>0.4</v>
      </c>
    </row>
    <row r="14" spans="1:4" x14ac:dyDescent="0.35">
      <c r="B14" t="s">
        <v>733</v>
      </c>
      <c r="C14" s="7">
        <v>0.5</v>
      </c>
      <c r="D14" s="7">
        <v>0.4</v>
      </c>
    </row>
  </sheetData>
  <hyperlinks>
    <hyperlink ref="A1" r:id="rId1" display="https://agri.odisha.gov.in/sites/default/files/2025-04/SMAM WRITE UP.pdf" xr:uid="{758BE8DE-EA67-4101-A6C8-5706C513F30B}"/>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2BBFFF-71E7-4636-ABF1-FE4FBDD29B54}">
  <sheetPr codeName="Sheet10"/>
  <dimension ref="A1:E57"/>
  <sheetViews>
    <sheetView topLeftCell="A30" workbookViewId="0">
      <selection activeCell="B64" sqref="B64"/>
    </sheetView>
  </sheetViews>
  <sheetFormatPr defaultRowHeight="14.5" x14ac:dyDescent="0.35"/>
  <cols>
    <col min="1" max="1" width="17.54296875" bestFit="1" customWidth="1"/>
    <col min="2" max="2" width="81.453125" bestFit="1" customWidth="1"/>
    <col min="3" max="4" width="8.1796875" bestFit="1" customWidth="1"/>
  </cols>
  <sheetData>
    <row r="1" spans="1:5" x14ac:dyDescent="0.35">
      <c r="B1" s="6" t="s">
        <v>734</v>
      </c>
    </row>
    <row r="3" spans="1:5" x14ac:dyDescent="0.35">
      <c r="B3" t="s">
        <v>735</v>
      </c>
      <c r="E3" s="9"/>
    </row>
    <row r="4" spans="1:5" x14ac:dyDescent="0.35">
      <c r="B4" t="s">
        <v>736</v>
      </c>
      <c r="E4" s="9"/>
    </row>
    <row r="5" spans="1:5" x14ac:dyDescent="0.35">
      <c r="B5" t="s">
        <v>737</v>
      </c>
      <c r="E5" s="9"/>
    </row>
    <row r="6" spans="1:5" x14ac:dyDescent="0.35">
      <c r="B6" t="s">
        <v>738</v>
      </c>
      <c r="E6" s="9"/>
    </row>
    <row r="7" spans="1:5" x14ac:dyDescent="0.35">
      <c r="B7" t="s">
        <v>739</v>
      </c>
      <c r="E7" s="9"/>
    </row>
    <row r="8" spans="1:5" x14ac:dyDescent="0.35">
      <c r="B8" s="9" t="s">
        <v>740</v>
      </c>
      <c r="E8" s="9"/>
    </row>
    <row r="9" spans="1:5" x14ac:dyDescent="0.35">
      <c r="B9" s="9" t="s">
        <v>741</v>
      </c>
      <c r="E9" s="9"/>
    </row>
    <row r="10" spans="1:5" x14ac:dyDescent="0.35">
      <c r="B10" s="9" t="s">
        <v>742</v>
      </c>
      <c r="E10" t="s">
        <v>743</v>
      </c>
    </row>
    <row r="11" spans="1:5" ht="29" x14ac:dyDescent="0.35">
      <c r="A11" s="10" t="s">
        <v>744</v>
      </c>
      <c r="B11" s="11" t="s">
        <v>411</v>
      </c>
      <c r="C11" s="11" t="s">
        <v>745</v>
      </c>
      <c r="D11" s="11" t="s">
        <v>724</v>
      </c>
    </row>
    <row r="12" spans="1:5" x14ac:dyDescent="0.35">
      <c r="A12" s="12" t="s">
        <v>746</v>
      </c>
      <c r="B12" s="13" t="s">
        <v>747</v>
      </c>
      <c r="C12" s="13" t="s">
        <v>748</v>
      </c>
      <c r="D12" s="13" t="s">
        <v>749</v>
      </c>
      <c r="E12" s="9"/>
    </row>
    <row r="13" spans="1:5" x14ac:dyDescent="0.35">
      <c r="A13" s="12" t="s">
        <v>746</v>
      </c>
      <c r="B13" s="13" t="s">
        <v>750</v>
      </c>
      <c r="C13" s="13" t="s">
        <v>751</v>
      </c>
      <c r="D13" s="13" t="s">
        <v>752</v>
      </c>
    </row>
    <row r="14" spans="1:5" x14ac:dyDescent="0.35">
      <c r="A14" s="12" t="s">
        <v>746</v>
      </c>
      <c r="B14" s="13" t="s">
        <v>753</v>
      </c>
      <c r="C14" s="13" t="s">
        <v>754</v>
      </c>
      <c r="D14" s="13" t="s">
        <v>755</v>
      </c>
    </row>
    <row r="15" spans="1:5" x14ac:dyDescent="0.35">
      <c r="A15" s="12" t="s">
        <v>746</v>
      </c>
      <c r="B15" s="13" t="s">
        <v>756</v>
      </c>
      <c r="C15" s="13" t="s">
        <v>757</v>
      </c>
      <c r="D15" s="13" t="s">
        <v>758</v>
      </c>
    </row>
    <row r="16" spans="1:5" x14ac:dyDescent="0.35">
      <c r="A16" s="12" t="s">
        <v>746</v>
      </c>
      <c r="B16" s="13" t="s">
        <v>759</v>
      </c>
      <c r="C16" s="13" t="s">
        <v>760</v>
      </c>
      <c r="D16" s="13" t="s">
        <v>761</v>
      </c>
    </row>
    <row r="17" spans="1:5" ht="29" x14ac:dyDescent="0.35">
      <c r="A17" s="12" t="s">
        <v>746</v>
      </c>
      <c r="B17" s="13" t="s">
        <v>762</v>
      </c>
      <c r="C17" s="13" t="s">
        <v>763</v>
      </c>
      <c r="D17" s="13" t="s">
        <v>764</v>
      </c>
    </row>
    <row r="18" spans="1:5" ht="29" x14ac:dyDescent="0.35">
      <c r="A18" s="12" t="s">
        <v>746</v>
      </c>
      <c r="B18" s="13" t="s">
        <v>765</v>
      </c>
      <c r="C18" s="13" t="s">
        <v>766</v>
      </c>
      <c r="D18" s="13" t="s">
        <v>748</v>
      </c>
      <c r="E18" s="9"/>
    </row>
    <row r="19" spans="1:5" ht="29" x14ac:dyDescent="0.35">
      <c r="A19" s="12" t="s">
        <v>746</v>
      </c>
      <c r="B19" s="13" t="s">
        <v>767</v>
      </c>
      <c r="C19" s="13" t="s">
        <v>768</v>
      </c>
      <c r="D19" s="13" t="s">
        <v>769</v>
      </c>
      <c r="E19" s="9"/>
    </row>
    <row r="20" spans="1:5" ht="29" x14ac:dyDescent="0.35">
      <c r="A20" s="12" t="s">
        <v>746</v>
      </c>
      <c r="B20" s="13" t="s">
        <v>770</v>
      </c>
      <c r="C20" s="13" t="s">
        <v>766</v>
      </c>
      <c r="D20" s="13" t="s">
        <v>748</v>
      </c>
      <c r="E20" s="9"/>
    </row>
    <row r="21" spans="1:5" x14ac:dyDescent="0.35">
      <c r="A21" s="12" t="s">
        <v>746</v>
      </c>
      <c r="B21" s="13" t="s">
        <v>771</v>
      </c>
      <c r="C21" s="13" t="s">
        <v>772</v>
      </c>
      <c r="D21" s="13" t="s">
        <v>773</v>
      </c>
      <c r="E21" s="9"/>
    </row>
    <row r="22" spans="1:5" x14ac:dyDescent="0.35">
      <c r="A22" s="12" t="s">
        <v>774</v>
      </c>
      <c r="B22" s="13" t="s">
        <v>775</v>
      </c>
      <c r="C22" s="13" t="s">
        <v>776</v>
      </c>
      <c r="D22" s="13" t="s">
        <v>777</v>
      </c>
      <c r="E22" s="9"/>
    </row>
    <row r="23" spans="1:5" x14ac:dyDescent="0.35">
      <c r="A23" s="12" t="s">
        <v>774</v>
      </c>
      <c r="B23" s="13" t="s">
        <v>778</v>
      </c>
      <c r="C23" s="13" t="s">
        <v>772</v>
      </c>
      <c r="D23" s="13" t="s">
        <v>773</v>
      </c>
      <c r="E23" s="9"/>
    </row>
    <row r="24" spans="1:5" x14ac:dyDescent="0.35">
      <c r="A24" s="12" t="s">
        <v>774</v>
      </c>
      <c r="B24" s="13" t="s">
        <v>779</v>
      </c>
      <c r="C24" s="13" t="s">
        <v>748</v>
      </c>
      <c r="D24" s="13" t="s">
        <v>780</v>
      </c>
      <c r="E24" s="9"/>
    </row>
    <row r="25" spans="1:5" x14ac:dyDescent="0.35">
      <c r="A25" s="12" t="s">
        <v>781</v>
      </c>
      <c r="B25" s="13" t="s">
        <v>460</v>
      </c>
      <c r="C25" s="13" t="s">
        <v>782</v>
      </c>
      <c r="D25" s="13" t="s">
        <v>783</v>
      </c>
      <c r="E25" s="9"/>
    </row>
    <row r="26" spans="1:5" x14ac:dyDescent="0.35">
      <c r="A26" s="12" t="s">
        <v>781</v>
      </c>
      <c r="B26" s="13" t="s">
        <v>784</v>
      </c>
      <c r="C26" s="13" t="s">
        <v>785</v>
      </c>
      <c r="D26" s="13" t="s">
        <v>786</v>
      </c>
      <c r="E26" s="9"/>
    </row>
    <row r="27" spans="1:5" x14ac:dyDescent="0.35">
      <c r="A27" s="12" t="s">
        <v>781</v>
      </c>
      <c r="B27" s="13" t="s">
        <v>382</v>
      </c>
      <c r="C27" s="13" t="s">
        <v>787</v>
      </c>
      <c r="D27" s="13" t="s">
        <v>788</v>
      </c>
      <c r="E27" s="9"/>
    </row>
    <row r="28" spans="1:5" x14ac:dyDescent="0.35">
      <c r="A28" s="12" t="s">
        <v>781</v>
      </c>
      <c r="B28" s="13" t="s">
        <v>789</v>
      </c>
      <c r="C28" s="13" t="s">
        <v>783</v>
      </c>
      <c r="D28" s="13" t="s">
        <v>790</v>
      </c>
    </row>
    <row r="29" spans="1:5" x14ac:dyDescent="0.35">
      <c r="A29" s="12" t="s">
        <v>781</v>
      </c>
      <c r="B29" s="13" t="s">
        <v>791</v>
      </c>
      <c r="C29" s="13" t="s">
        <v>773</v>
      </c>
      <c r="D29" s="13" t="s">
        <v>792</v>
      </c>
    </row>
    <row r="30" spans="1:5" x14ac:dyDescent="0.35">
      <c r="A30" s="12" t="s">
        <v>781</v>
      </c>
      <c r="B30" s="13" t="s">
        <v>793</v>
      </c>
      <c r="C30" s="13" t="s">
        <v>794</v>
      </c>
      <c r="D30" s="13" t="s">
        <v>795</v>
      </c>
    </row>
    <row r="31" spans="1:5" ht="29" x14ac:dyDescent="0.35">
      <c r="A31" s="12" t="s">
        <v>358</v>
      </c>
      <c r="B31" s="13" t="s">
        <v>360</v>
      </c>
      <c r="C31" s="13" t="s">
        <v>796</v>
      </c>
      <c r="D31" s="13" t="s">
        <v>797</v>
      </c>
    </row>
    <row r="32" spans="1:5" ht="29" x14ac:dyDescent="0.35">
      <c r="A32" s="12" t="s">
        <v>358</v>
      </c>
      <c r="B32" s="13" t="s">
        <v>214</v>
      </c>
      <c r="C32" s="13" t="s">
        <v>798</v>
      </c>
      <c r="D32" s="13" t="s">
        <v>799</v>
      </c>
    </row>
    <row r="33" spans="1:5" x14ac:dyDescent="0.35">
      <c r="A33" s="12" t="s">
        <v>358</v>
      </c>
      <c r="B33" s="13" t="s">
        <v>800</v>
      </c>
      <c r="C33" s="13" t="s">
        <v>786</v>
      </c>
      <c r="D33" s="13" t="s">
        <v>801</v>
      </c>
      <c r="E33" s="32"/>
    </row>
    <row r="34" spans="1:5" ht="29" x14ac:dyDescent="0.35">
      <c r="A34" s="12" t="s">
        <v>358</v>
      </c>
      <c r="B34" s="13" t="s">
        <v>359</v>
      </c>
      <c r="C34" s="13" t="s">
        <v>802</v>
      </c>
      <c r="D34" s="13" t="s">
        <v>803</v>
      </c>
      <c r="E34" s="32"/>
    </row>
    <row r="35" spans="1:5" ht="29" x14ac:dyDescent="0.35">
      <c r="A35" s="12" t="s">
        <v>358</v>
      </c>
      <c r="B35" s="13" t="s">
        <v>365</v>
      </c>
      <c r="C35" s="13" t="s">
        <v>804</v>
      </c>
      <c r="D35" s="13" t="s">
        <v>805</v>
      </c>
    </row>
    <row r="36" spans="1:5" x14ac:dyDescent="0.35">
      <c r="A36" s="12" t="s">
        <v>358</v>
      </c>
      <c r="B36" s="13" t="s">
        <v>806</v>
      </c>
      <c r="C36" s="13" t="s">
        <v>807</v>
      </c>
      <c r="D36" s="13" t="s">
        <v>808</v>
      </c>
    </row>
    <row r="37" spans="1:5" ht="29" x14ac:dyDescent="0.35">
      <c r="A37" s="12" t="s">
        <v>774</v>
      </c>
      <c r="B37" s="13" t="s">
        <v>223</v>
      </c>
      <c r="C37" s="13" t="s">
        <v>809</v>
      </c>
      <c r="D37" s="13" t="s">
        <v>810</v>
      </c>
    </row>
    <row r="38" spans="1:5" x14ac:dyDescent="0.35">
      <c r="A38" s="12" t="s">
        <v>774</v>
      </c>
      <c r="B38" s="13" t="s">
        <v>371</v>
      </c>
      <c r="C38" s="13" t="s">
        <v>811</v>
      </c>
      <c r="D38" s="13" t="s">
        <v>812</v>
      </c>
    </row>
    <row r="39" spans="1:5" ht="29" x14ac:dyDescent="0.35">
      <c r="A39" s="12" t="s">
        <v>774</v>
      </c>
      <c r="B39" s="13" t="s">
        <v>372</v>
      </c>
      <c r="C39" s="13" t="s">
        <v>813</v>
      </c>
      <c r="D39" s="13" t="s">
        <v>814</v>
      </c>
    </row>
    <row r="40" spans="1:5" ht="29" x14ac:dyDescent="0.35">
      <c r="A40" s="12" t="s">
        <v>774</v>
      </c>
      <c r="B40" s="13" t="s">
        <v>375</v>
      </c>
      <c r="C40" s="13" t="s">
        <v>815</v>
      </c>
      <c r="D40" s="13" t="s">
        <v>816</v>
      </c>
    </row>
    <row r="41" spans="1:5" x14ac:dyDescent="0.35">
      <c r="A41" s="12" t="s">
        <v>774</v>
      </c>
      <c r="B41" s="13" t="s">
        <v>817</v>
      </c>
      <c r="C41" s="13" t="s">
        <v>785</v>
      </c>
      <c r="D41" s="13" t="s">
        <v>786</v>
      </c>
    </row>
    <row r="42" spans="1:5" ht="29" x14ac:dyDescent="0.35">
      <c r="A42" s="12" t="s">
        <v>774</v>
      </c>
      <c r="B42" s="13" t="s">
        <v>818</v>
      </c>
      <c r="C42" s="13" t="s">
        <v>819</v>
      </c>
      <c r="D42" s="13" t="s">
        <v>820</v>
      </c>
    </row>
    <row r="43" spans="1:5" ht="29" x14ac:dyDescent="0.35">
      <c r="A43" s="12" t="s">
        <v>821</v>
      </c>
      <c r="B43" s="13" t="s">
        <v>405</v>
      </c>
      <c r="C43" s="13" t="s">
        <v>822</v>
      </c>
      <c r="D43" s="13" t="s">
        <v>823</v>
      </c>
    </row>
    <row r="44" spans="1:5" x14ac:dyDescent="0.35">
      <c r="A44" s="12" t="s">
        <v>821</v>
      </c>
      <c r="B44" s="13" t="s">
        <v>824</v>
      </c>
      <c r="C44" s="13" t="s">
        <v>825</v>
      </c>
      <c r="D44" s="13" t="s">
        <v>826</v>
      </c>
    </row>
    <row r="45" spans="1:5" x14ac:dyDescent="0.35">
      <c r="A45" s="12" t="s">
        <v>821</v>
      </c>
      <c r="B45" s="13" t="s">
        <v>403</v>
      </c>
      <c r="C45" s="13" t="s">
        <v>827</v>
      </c>
      <c r="D45" s="13" t="s">
        <v>828</v>
      </c>
    </row>
    <row r="46" spans="1:5" x14ac:dyDescent="0.35">
      <c r="A46" s="12" t="s">
        <v>821</v>
      </c>
      <c r="B46" s="13" t="s">
        <v>400</v>
      </c>
      <c r="C46" s="13" t="s">
        <v>829</v>
      </c>
      <c r="D46" s="13" t="s">
        <v>830</v>
      </c>
    </row>
    <row r="47" spans="1:5" x14ac:dyDescent="0.35">
      <c r="A47" s="12" t="s">
        <v>821</v>
      </c>
      <c r="B47" s="13" t="s">
        <v>831</v>
      </c>
      <c r="C47" s="13" t="s">
        <v>785</v>
      </c>
      <c r="D47" s="13" t="s">
        <v>786</v>
      </c>
    </row>
    <row r="48" spans="1:5" x14ac:dyDescent="0.35">
      <c r="A48" s="12" t="s">
        <v>821</v>
      </c>
      <c r="B48" s="13" t="s">
        <v>832</v>
      </c>
      <c r="C48" s="13" t="s">
        <v>833</v>
      </c>
      <c r="D48" s="13" t="s">
        <v>834</v>
      </c>
    </row>
    <row r="49" spans="1:5" x14ac:dyDescent="0.35">
      <c r="A49" s="12" t="s">
        <v>821</v>
      </c>
      <c r="B49" s="13" t="s">
        <v>835</v>
      </c>
      <c r="C49" s="13" t="s">
        <v>752</v>
      </c>
      <c r="D49" s="13" t="s">
        <v>786</v>
      </c>
      <c r="E49" s="9"/>
    </row>
    <row r="50" spans="1:5" x14ac:dyDescent="0.35">
      <c r="A50" s="12" t="s">
        <v>821</v>
      </c>
      <c r="B50" s="13" t="s">
        <v>300</v>
      </c>
      <c r="C50" s="13" t="s">
        <v>836</v>
      </c>
      <c r="D50" s="13" t="s">
        <v>776</v>
      </c>
      <c r="E50" s="9" t="s">
        <v>837</v>
      </c>
    </row>
    <row r="51" spans="1:5" x14ac:dyDescent="0.35">
      <c r="A51" s="12" t="s">
        <v>821</v>
      </c>
      <c r="B51" s="13" t="s">
        <v>838</v>
      </c>
      <c r="C51" s="13" t="s">
        <v>830</v>
      </c>
      <c r="D51" s="13" t="s">
        <v>839</v>
      </c>
      <c r="E51" s="9"/>
    </row>
    <row r="52" spans="1:5" x14ac:dyDescent="0.35">
      <c r="A52" s="12" t="s">
        <v>821</v>
      </c>
      <c r="B52" s="13" t="s">
        <v>840</v>
      </c>
      <c r="C52" s="13" t="s">
        <v>751</v>
      </c>
      <c r="D52" s="13" t="s">
        <v>752</v>
      </c>
      <c r="E52" s="9" t="s">
        <v>841</v>
      </c>
    </row>
    <row r="53" spans="1:5" x14ac:dyDescent="0.35">
      <c r="A53" s="12" t="s">
        <v>821</v>
      </c>
      <c r="B53" s="13" t="s">
        <v>842</v>
      </c>
      <c r="C53" s="13" t="s">
        <v>843</v>
      </c>
      <c r="D53" s="13" t="s">
        <v>833</v>
      </c>
    </row>
    <row r="54" spans="1:5" ht="29" x14ac:dyDescent="0.35">
      <c r="A54" s="12" t="s">
        <v>844</v>
      </c>
      <c r="B54" s="13" t="s">
        <v>384</v>
      </c>
      <c r="C54" s="13" t="s">
        <v>845</v>
      </c>
      <c r="D54" s="13" t="s">
        <v>846</v>
      </c>
    </row>
    <row r="55" spans="1:5" x14ac:dyDescent="0.35">
      <c r="A55" s="12" t="s">
        <v>844</v>
      </c>
      <c r="B55" s="13" t="s">
        <v>379</v>
      </c>
      <c r="C55" s="13" t="s">
        <v>847</v>
      </c>
      <c r="D55" s="13" t="s">
        <v>788</v>
      </c>
    </row>
    <row r="56" spans="1:5" x14ac:dyDescent="0.35">
      <c r="A56" s="12" t="s">
        <v>844</v>
      </c>
      <c r="B56" s="13" t="s">
        <v>848</v>
      </c>
      <c r="C56" s="13" t="s">
        <v>773</v>
      </c>
      <c r="D56" s="13" t="s">
        <v>792</v>
      </c>
    </row>
    <row r="57" spans="1:5" x14ac:dyDescent="0.35">
      <c r="A57" s="12" t="s">
        <v>844</v>
      </c>
      <c r="B57" s="13" t="s">
        <v>386</v>
      </c>
      <c r="C57" s="13" t="s">
        <v>849</v>
      </c>
      <c r="D57" s="13" t="s">
        <v>843</v>
      </c>
    </row>
  </sheetData>
  <hyperlinks>
    <hyperlink ref="B1" r:id="rId1" display="https://agrimachinerypb.com/filies/Consolidated_permissible_subsidy.pdf" xr:uid="{4BCF9625-2D2B-406D-84EF-2026E27E68FD}"/>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95323B-8D4E-413A-8715-6D1A462FF418}">
  <sheetPr codeName="Sheet11" filterMode="1"/>
  <dimension ref="A1:G34"/>
  <sheetViews>
    <sheetView topLeftCell="A22" workbookViewId="0">
      <selection activeCell="C9" sqref="A1:G34"/>
    </sheetView>
  </sheetViews>
  <sheetFormatPr defaultRowHeight="14.5" x14ac:dyDescent="0.35"/>
  <cols>
    <col min="1" max="1" width="11.1796875" bestFit="1" customWidth="1"/>
    <col min="2" max="2" width="29.7265625" customWidth="1"/>
    <col min="3" max="3" width="17.54296875" bestFit="1" customWidth="1"/>
    <col min="4" max="4" width="18.7265625" customWidth="1"/>
    <col min="5" max="5" width="16.453125" customWidth="1"/>
    <col min="6" max="6" width="16.81640625" customWidth="1"/>
  </cols>
  <sheetData>
    <row r="1" spans="1:7" x14ac:dyDescent="0.35">
      <c r="A1" s="6" t="s">
        <v>850</v>
      </c>
    </row>
    <row r="2" spans="1:7" ht="29" x14ac:dyDescent="0.35">
      <c r="A2" s="4" t="s">
        <v>851</v>
      </c>
      <c r="B2" s="1" t="s">
        <v>852</v>
      </c>
      <c r="C2" s="1" t="s">
        <v>411</v>
      </c>
      <c r="D2" s="1" t="s">
        <v>853</v>
      </c>
      <c r="E2" s="1" t="s">
        <v>854</v>
      </c>
      <c r="F2" s="1" t="s">
        <v>855</v>
      </c>
    </row>
    <row r="3" spans="1:7" hidden="1" x14ac:dyDescent="0.35">
      <c r="A3" t="s">
        <v>351</v>
      </c>
      <c r="B3" s="5" t="s">
        <v>856</v>
      </c>
      <c r="C3" s="2" t="s">
        <v>359</v>
      </c>
      <c r="D3" s="2" t="s">
        <v>857</v>
      </c>
      <c r="E3" s="2" t="s">
        <v>858</v>
      </c>
      <c r="F3" s="2" t="s">
        <v>859</v>
      </c>
      <c r="G3" t="e">
        <f>_xlfn.XLOOKUP(C3,#REF!,#REF!)</f>
        <v>#REF!</v>
      </c>
    </row>
    <row r="4" spans="1:7" hidden="1" x14ac:dyDescent="0.35">
      <c r="A4" t="s">
        <v>351</v>
      </c>
      <c r="B4" s="5" t="s">
        <v>856</v>
      </c>
      <c r="C4" s="2" t="s">
        <v>214</v>
      </c>
      <c r="D4" s="3">
        <v>50000</v>
      </c>
      <c r="E4" s="3">
        <v>40000</v>
      </c>
      <c r="F4" s="2" t="s">
        <v>859</v>
      </c>
      <c r="G4" t="e">
        <f>_xlfn.XLOOKUP(C4,#REF!,#REF!)</f>
        <v>#REF!</v>
      </c>
    </row>
    <row r="5" spans="1:7" x14ac:dyDescent="0.35">
      <c r="A5" t="s">
        <v>351</v>
      </c>
      <c r="B5" s="5" t="s">
        <v>856</v>
      </c>
      <c r="C5" s="2" t="s">
        <v>364</v>
      </c>
      <c r="D5" s="3">
        <v>55000</v>
      </c>
      <c r="E5" s="3">
        <v>45000</v>
      </c>
      <c r="F5" s="2" t="s">
        <v>859</v>
      </c>
      <c r="G5" t="e">
        <f>_xlfn.XLOOKUP(C5,#REF!,#REF!)</f>
        <v>#REF!</v>
      </c>
    </row>
    <row r="6" spans="1:7" hidden="1" x14ac:dyDescent="0.35">
      <c r="A6" t="s">
        <v>351</v>
      </c>
      <c r="B6" s="5" t="s">
        <v>856</v>
      </c>
      <c r="C6" s="2" t="s">
        <v>220</v>
      </c>
      <c r="D6" s="3">
        <v>200000</v>
      </c>
      <c r="E6" s="3">
        <v>160000</v>
      </c>
      <c r="F6" s="2" t="s">
        <v>859</v>
      </c>
      <c r="G6" t="e">
        <f>_xlfn.XLOOKUP(C6,#REF!,#REF!)</f>
        <v>#REF!</v>
      </c>
    </row>
    <row r="7" spans="1:7" ht="43.5" x14ac:dyDescent="0.35">
      <c r="A7" t="s">
        <v>351</v>
      </c>
      <c r="B7" s="5" t="s">
        <v>856</v>
      </c>
      <c r="C7" s="2" t="s">
        <v>860</v>
      </c>
      <c r="D7" s="3">
        <v>70000</v>
      </c>
      <c r="E7" s="3">
        <v>56000</v>
      </c>
      <c r="F7" s="2" t="s">
        <v>859</v>
      </c>
      <c r="G7" t="e">
        <f>_xlfn.XLOOKUP(C7,#REF!,#REF!)</f>
        <v>#REF!</v>
      </c>
    </row>
    <row r="8" spans="1:7" x14ac:dyDescent="0.35">
      <c r="A8" t="s">
        <v>351</v>
      </c>
      <c r="B8" s="5" t="s">
        <v>856</v>
      </c>
      <c r="C8" s="2" t="s">
        <v>861</v>
      </c>
      <c r="D8" s="3">
        <v>75000</v>
      </c>
      <c r="E8" s="3">
        <v>60000</v>
      </c>
      <c r="F8" s="2" t="s">
        <v>859</v>
      </c>
      <c r="G8" t="e">
        <f>_xlfn.XLOOKUP(C8,#REF!,#REF!)</f>
        <v>#REF!</v>
      </c>
    </row>
    <row r="9" spans="1:7" ht="29" x14ac:dyDescent="0.35">
      <c r="A9" t="s">
        <v>351</v>
      </c>
      <c r="B9" s="5" t="s">
        <v>862</v>
      </c>
      <c r="C9" s="2" t="s">
        <v>371</v>
      </c>
      <c r="D9" s="2" t="s">
        <v>863</v>
      </c>
      <c r="E9" s="2" t="s">
        <v>864</v>
      </c>
      <c r="F9" s="2" t="s">
        <v>859</v>
      </c>
      <c r="G9" t="e">
        <f>_xlfn.XLOOKUP(C9,#REF!,#REF!)</f>
        <v>#REF!</v>
      </c>
    </row>
    <row r="10" spans="1:7" hidden="1" x14ac:dyDescent="0.35">
      <c r="A10" t="s">
        <v>351</v>
      </c>
      <c r="B10" s="5" t="s">
        <v>862</v>
      </c>
      <c r="C10" s="2" t="s">
        <v>372</v>
      </c>
      <c r="D10" s="3">
        <v>75000</v>
      </c>
      <c r="E10" s="3">
        <v>60000</v>
      </c>
      <c r="F10" s="2" t="s">
        <v>859</v>
      </c>
      <c r="G10" t="e">
        <f>_xlfn.XLOOKUP(C10,#REF!,#REF!)</f>
        <v>#REF!</v>
      </c>
    </row>
    <row r="11" spans="1:7" x14ac:dyDescent="0.35">
      <c r="A11" t="s">
        <v>351</v>
      </c>
      <c r="B11" s="5" t="s">
        <v>862</v>
      </c>
      <c r="C11" s="2" t="s">
        <v>375</v>
      </c>
      <c r="D11" s="3">
        <v>225000</v>
      </c>
      <c r="E11" s="3">
        <v>180000</v>
      </c>
      <c r="F11" s="2" t="s">
        <v>859</v>
      </c>
      <c r="G11" t="e">
        <f>_xlfn.XLOOKUP(C11,#REF!,#REF!)</f>
        <v>#REF!</v>
      </c>
    </row>
    <row r="12" spans="1:7" hidden="1" x14ac:dyDescent="0.35">
      <c r="A12" t="s">
        <v>351</v>
      </c>
      <c r="B12" s="5" t="s">
        <v>862</v>
      </c>
      <c r="C12" s="2" t="s">
        <v>223</v>
      </c>
      <c r="D12" s="2" t="s">
        <v>865</v>
      </c>
      <c r="E12" s="2" t="s">
        <v>866</v>
      </c>
      <c r="F12" s="2" t="s">
        <v>859</v>
      </c>
      <c r="G12" t="e">
        <f>_xlfn.XLOOKUP(C12,#REF!,#REF!)</f>
        <v>#REF!</v>
      </c>
    </row>
    <row r="13" spans="1:7" ht="29" x14ac:dyDescent="0.35">
      <c r="A13" t="s">
        <v>351</v>
      </c>
      <c r="B13" s="5" t="s">
        <v>862</v>
      </c>
      <c r="C13" s="2" t="s">
        <v>867</v>
      </c>
      <c r="D13" s="3">
        <v>500000</v>
      </c>
      <c r="E13" s="3">
        <v>400000</v>
      </c>
      <c r="F13" s="2" t="s">
        <v>859</v>
      </c>
      <c r="G13" t="e">
        <f>_xlfn.XLOOKUP(C13,#REF!,#REF!)</f>
        <v>#REF!</v>
      </c>
    </row>
    <row r="14" spans="1:7" ht="29" x14ac:dyDescent="0.35">
      <c r="A14" t="s">
        <v>351</v>
      </c>
      <c r="B14" s="5" t="s">
        <v>862</v>
      </c>
      <c r="C14" s="2" t="s">
        <v>868</v>
      </c>
      <c r="D14" s="3">
        <v>800000</v>
      </c>
      <c r="E14" s="3">
        <v>650000</v>
      </c>
      <c r="F14" s="2" t="s">
        <v>859</v>
      </c>
      <c r="G14" t="e">
        <f>_xlfn.XLOOKUP(C14,#REF!,#REF!)</f>
        <v>#REF!</v>
      </c>
    </row>
    <row r="15" spans="1:7" ht="29" x14ac:dyDescent="0.35">
      <c r="A15" t="s">
        <v>351</v>
      </c>
      <c r="B15" s="5" t="s">
        <v>862</v>
      </c>
      <c r="C15" s="2" t="s">
        <v>869</v>
      </c>
      <c r="D15" s="3">
        <v>175000</v>
      </c>
      <c r="E15" s="3">
        <v>140000</v>
      </c>
      <c r="F15" s="2" t="s">
        <v>859</v>
      </c>
      <c r="G15" t="e">
        <f>_xlfn.XLOOKUP(C15,#REF!,#REF!)</f>
        <v>#REF!</v>
      </c>
    </row>
    <row r="16" spans="1:7" x14ac:dyDescent="0.35">
      <c r="A16" t="s">
        <v>351</v>
      </c>
      <c r="B16" s="5" t="s">
        <v>388</v>
      </c>
      <c r="C16" s="2" t="s">
        <v>391</v>
      </c>
      <c r="D16" s="3">
        <v>75000</v>
      </c>
      <c r="E16" s="3">
        <v>60000</v>
      </c>
      <c r="F16" t="s">
        <v>859</v>
      </c>
      <c r="G16" t="e">
        <f>_xlfn.XLOOKUP(C16,#REF!,#REF!)</f>
        <v>#REF!</v>
      </c>
    </row>
    <row r="17" spans="1:7" ht="29" x14ac:dyDescent="0.35">
      <c r="A17" t="s">
        <v>351</v>
      </c>
      <c r="B17" s="5" t="s">
        <v>388</v>
      </c>
      <c r="C17" s="2" t="s">
        <v>870</v>
      </c>
      <c r="D17" s="3">
        <v>250000</v>
      </c>
      <c r="E17" s="3">
        <v>200000</v>
      </c>
      <c r="F17" t="s">
        <v>859</v>
      </c>
      <c r="G17" t="e">
        <f>_xlfn.XLOOKUP(C17,#REF!,#REF!)</f>
        <v>#REF!</v>
      </c>
    </row>
    <row r="18" spans="1:7" ht="29" x14ac:dyDescent="0.35">
      <c r="A18" t="s">
        <v>351</v>
      </c>
      <c r="B18" s="5" t="s">
        <v>388</v>
      </c>
      <c r="C18" s="2" t="s">
        <v>747</v>
      </c>
      <c r="D18" s="3">
        <v>800000</v>
      </c>
      <c r="E18" s="3">
        <v>640000</v>
      </c>
      <c r="F18" t="s">
        <v>859</v>
      </c>
      <c r="G18" t="e">
        <f>_xlfn.XLOOKUP(C18,#REF!,#REF!)</f>
        <v>#REF!</v>
      </c>
    </row>
    <row r="19" spans="1:7" ht="29" x14ac:dyDescent="0.35">
      <c r="A19" t="s">
        <v>351</v>
      </c>
      <c r="B19" s="5" t="s">
        <v>388</v>
      </c>
      <c r="C19" s="2" t="s">
        <v>871</v>
      </c>
      <c r="D19" s="3">
        <v>300000</v>
      </c>
      <c r="E19" s="3">
        <v>240000</v>
      </c>
      <c r="F19" t="s">
        <v>859</v>
      </c>
      <c r="G19" t="e">
        <f>_xlfn.XLOOKUP(C19,#REF!,#REF!)</f>
        <v>#REF!</v>
      </c>
    </row>
    <row r="20" spans="1:7" x14ac:dyDescent="0.35">
      <c r="A20" t="s">
        <v>351</v>
      </c>
      <c r="B20" s="5" t="s">
        <v>388</v>
      </c>
      <c r="C20" s="2" t="s">
        <v>872</v>
      </c>
      <c r="D20" s="2" t="s">
        <v>873</v>
      </c>
      <c r="E20" s="2" t="s">
        <v>874</v>
      </c>
      <c r="F20" t="s">
        <v>859</v>
      </c>
      <c r="G20" t="e">
        <f>_xlfn.XLOOKUP(C20,#REF!,#REF!)</f>
        <v>#REF!</v>
      </c>
    </row>
    <row r="21" spans="1:7" ht="29" x14ac:dyDescent="0.35">
      <c r="A21" t="s">
        <v>351</v>
      </c>
      <c r="B21" s="5" t="s">
        <v>388</v>
      </c>
      <c r="C21" s="2" t="s">
        <v>394</v>
      </c>
      <c r="D21" s="3">
        <v>75000</v>
      </c>
      <c r="E21" s="3">
        <v>60000</v>
      </c>
      <c r="F21" t="s">
        <v>859</v>
      </c>
      <c r="G21" t="e">
        <f>_xlfn.XLOOKUP(C21,#REF!,#REF!)</f>
        <v>#REF!</v>
      </c>
    </row>
    <row r="22" spans="1:7" ht="29" x14ac:dyDescent="0.35">
      <c r="A22" t="s">
        <v>351</v>
      </c>
      <c r="B22" s="5" t="s">
        <v>378</v>
      </c>
      <c r="C22" s="2" t="s">
        <v>379</v>
      </c>
      <c r="D22" s="3">
        <v>37000</v>
      </c>
      <c r="E22" s="3">
        <v>28000</v>
      </c>
      <c r="F22" s="2" t="s">
        <v>859</v>
      </c>
      <c r="G22" t="e">
        <f>_xlfn.XLOOKUP(C22,#REF!,#REF!)</f>
        <v>#REF!</v>
      </c>
    </row>
    <row r="23" spans="1:7" x14ac:dyDescent="0.35">
      <c r="A23" t="s">
        <v>351</v>
      </c>
      <c r="B23" s="5" t="s">
        <v>378</v>
      </c>
      <c r="C23" s="2" t="s">
        <v>380</v>
      </c>
      <c r="D23" s="3">
        <v>125000</v>
      </c>
      <c r="E23" s="3">
        <v>100000</v>
      </c>
      <c r="F23" s="2" t="s">
        <v>859</v>
      </c>
      <c r="G23" t="e">
        <f>_xlfn.XLOOKUP(C23,#REF!,#REF!)</f>
        <v>#REF!</v>
      </c>
    </row>
    <row r="24" spans="1:7" ht="29" x14ac:dyDescent="0.35">
      <c r="A24" t="s">
        <v>351</v>
      </c>
      <c r="B24" s="5" t="s">
        <v>378</v>
      </c>
      <c r="C24" s="2" t="s">
        <v>381</v>
      </c>
      <c r="D24" s="3">
        <v>250000</v>
      </c>
      <c r="E24" s="3">
        <v>200000</v>
      </c>
      <c r="F24" s="2" t="s">
        <v>859</v>
      </c>
      <c r="G24" t="e">
        <f>_xlfn.XLOOKUP(C24,#REF!,#REF!)</f>
        <v>#REF!</v>
      </c>
    </row>
    <row r="25" spans="1:7" ht="29" x14ac:dyDescent="0.35">
      <c r="A25" t="s">
        <v>351</v>
      </c>
      <c r="B25" s="5" t="s">
        <v>875</v>
      </c>
      <c r="C25" s="2" t="s">
        <v>876</v>
      </c>
      <c r="D25" s="3">
        <v>150000</v>
      </c>
      <c r="E25" s="3">
        <v>120000</v>
      </c>
      <c r="F25" s="2" t="s">
        <v>859</v>
      </c>
      <c r="G25" t="e">
        <f>_xlfn.XLOOKUP(C25,#REF!,#REF!)</f>
        <v>#REF!</v>
      </c>
    </row>
    <row r="26" spans="1:7" ht="29" x14ac:dyDescent="0.35">
      <c r="A26" t="s">
        <v>351</v>
      </c>
      <c r="B26" s="5" t="s">
        <v>875</v>
      </c>
      <c r="C26" s="2" t="s">
        <v>877</v>
      </c>
      <c r="D26" s="3">
        <v>900000</v>
      </c>
      <c r="E26" s="3">
        <v>720000</v>
      </c>
      <c r="F26" s="2" t="s">
        <v>859</v>
      </c>
      <c r="G26" t="e">
        <f>_xlfn.XLOOKUP(C26,#REF!,#REF!)</f>
        <v>#REF!</v>
      </c>
    </row>
    <row r="27" spans="1:7" x14ac:dyDescent="0.35">
      <c r="A27" t="s">
        <v>351</v>
      </c>
      <c r="B27" s="5" t="s">
        <v>875</v>
      </c>
      <c r="C27" s="2" t="s">
        <v>404</v>
      </c>
      <c r="D27" s="3">
        <v>600000</v>
      </c>
      <c r="E27" s="3">
        <v>480000</v>
      </c>
      <c r="F27" s="2" t="s">
        <v>859</v>
      </c>
      <c r="G27" t="e">
        <f>_xlfn.XLOOKUP(C27,#REF!,#REF!)</f>
        <v>#REF!</v>
      </c>
    </row>
    <row r="28" spans="1:7" x14ac:dyDescent="0.35">
      <c r="A28" t="s">
        <v>351</v>
      </c>
      <c r="B28" s="5" t="s">
        <v>875</v>
      </c>
      <c r="C28" s="2" t="s">
        <v>405</v>
      </c>
      <c r="D28" s="3">
        <v>130000</v>
      </c>
      <c r="E28" s="3">
        <v>104000</v>
      </c>
      <c r="F28" s="2" t="s">
        <v>859</v>
      </c>
      <c r="G28" t="e">
        <f>_xlfn.XLOOKUP(C28,#REF!,#REF!)</f>
        <v>#REF!</v>
      </c>
    </row>
    <row r="29" spans="1:7" x14ac:dyDescent="0.35">
      <c r="A29" t="s">
        <v>351</v>
      </c>
      <c r="B29" s="5" t="s">
        <v>875</v>
      </c>
      <c r="C29" s="2" t="s">
        <v>406</v>
      </c>
      <c r="D29" s="2" t="s">
        <v>878</v>
      </c>
      <c r="E29" s="2" t="s">
        <v>879</v>
      </c>
      <c r="F29" s="2" t="s">
        <v>859</v>
      </c>
      <c r="G29" t="e">
        <f>_xlfn.XLOOKUP(C29,#REF!,#REF!)</f>
        <v>#REF!</v>
      </c>
    </row>
    <row r="30" spans="1:7" ht="43.5" x14ac:dyDescent="0.35">
      <c r="A30" t="s">
        <v>351</v>
      </c>
      <c r="B30" s="5" t="s">
        <v>875</v>
      </c>
      <c r="C30" s="2" t="s">
        <v>880</v>
      </c>
      <c r="D30" s="3">
        <v>56000</v>
      </c>
      <c r="E30" s="3">
        <v>45000</v>
      </c>
      <c r="F30" s="2" t="s">
        <v>859</v>
      </c>
      <c r="G30" t="e">
        <f>_xlfn.XLOOKUP(C30,#REF!,#REF!)</f>
        <v>#REF!</v>
      </c>
    </row>
    <row r="31" spans="1:7" x14ac:dyDescent="0.35">
      <c r="A31" t="s">
        <v>351</v>
      </c>
      <c r="B31" s="5" t="s">
        <v>881</v>
      </c>
      <c r="C31" s="2" t="s">
        <v>882</v>
      </c>
      <c r="D31" s="3">
        <v>100000</v>
      </c>
      <c r="E31" s="3">
        <v>80000</v>
      </c>
      <c r="G31" t="e">
        <f>_xlfn.XLOOKUP(C31,#REF!,#REF!)</f>
        <v>#REF!</v>
      </c>
    </row>
    <row r="32" spans="1:7" x14ac:dyDescent="0.35">
      <c r="A32" t="s">
        <v>351</v>
      </c>
      <c r="B32" s="5" t="s">
        <v>881</v>
      </c>
      <c r="C32" s="2" t="s">
        <v>883</v>
      </c>
      <c r="D32" s="3">
        <v>250000</v>
      </c>
      <c r="E32" s="3">
        <v>200000</v>
      </c>
      <c r="G32" t="e">
        <f>_xlfn.XLOOKUP(C32,#REF!,#REF!)</f>
        <v>#REF!</v>
      </c>
    </row>
    <row r="33" spans="1:7" x14ac:dyDescent="0.35">
      <c r="A33" t="s">
        <v>351</v>
      </c>
      <c r="B33" s="5" t="s">
        <v>881</v>
      </c>
      <c r="C33" s="2" t="s">
        <v>884</v>
      </c>
      <c r="D33" s="3">
        <v>100000</v>
      </c>
      <c r="E33" s="3">
        <v>80000</v>
      </c>
      <c r="G33" t="e">
        <f>_xlfn.XLOOKUP(C33,#REF!,#REF!)</f>
        <v>#REF!</v>
      </c>
    </row>
    <row r="34" spans="1:7" hidden="1" x14ac:dyDescent="0.35">
      <c r="A34" t="s">
        <v>351</v>
      </c>
      <c r="B34" s="5" t="s">
        <v>881</v>
      </c>
      <c r="C34" s="2" t="s">
        <v>402</v>
      </c>
      <c r="D34" s="2" t="s">
        <v>885</v>
      </c>
      <c r="E34" s="2" t="s">
        <v>886</v>
      </c>
      <c r="G34" t="e">
        <f>_xlfn.XLOOKUP(C34,#REF!,#REF!)</f>
        <v>#REF!</v>
      </c>
    </row>
  </sheetData>
  <autoFilter ref="A2:G34" xr:uid="{1495323B-8D4E-413A-8715-6D1A462FF418}">
    <filterColumn colId="6">
      <filters>
        <filter val="#N/A"/>
      </filters>
    </filterColumn>
  </autoFilter>
  <hyperlinks>
    <hyperlink ref="A1" r:id="rId1" display="https://mahadbt.maharashtra.gov.in/Farmer/PDF/Benefit_SubmissionOnFarmMechanization.pdf" xr:uid="{249FB7E5-BA95-4D86-A14A-ECC7FBB7351E}"/>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DF12E0-B396-4D44-A594-B8427F02AA16}">
  <sheetPr codeName="Sheet12"/>
  <dimension ref="A1:E19"/>
  <sheetViews>
    <sheetView zoomScale="78" workbookViewId="0">
      <selection activeCell="D21" sqref="D21"/>
    </sheetView>
  </sheetViews>
  <sheetFormatPr defaultRowHeight="14.5" x14ac:dyDescent="0.35"/>
  <cols>
    <col min="1" max="1" width="33.54296875" bestFit="1" customWidth="1"/>
    <col min="2" max="2" width="13.1796875" bestFit="1" customWidth="1"/>
  </cols>
  <sheetData>
    <row r="1" spans="1:5" x14ac:dyDescent="0.35">
      <c r="C1" t="s">
        <v>4</v>
      </c>
    </row>
    <row r="2" spans="1:5" x14ac:dyDescent="0.35">
      <c r="B2" t="s">
        <v>5</v>
      </c>
      <c r="C2" s="7">
        <v>0.5</v>
      </c>
    </row>
    <row r="3" spans="1:5" x14ac:dyDescent="0.35">
      <c r="B3" t="s">
        <v>6</v>
      </c>
      <c r="C3" s="7">
        <v>0.5</v>
      </c>
    </row>
    <row r="4" spans="1:5" x14ac:dyDescent="0.35">
      <c r="B4" t="s">
        <v>7</v>
      </c>
      <c r="C4" s="7">
        <v>0.5</v>
      </c>
    </row>
    <row r="5" spans="1:5" x14ac:dyDescent="0.35">
      <c r="B5" t="s">
        <v>8</v>
      </c>
      <c r="C5" s="7">
        <v>0.5</v>
      </c>
    </row>
    <row r="6" spans="1:5" x14ac:dyDescent="0.35">
      <c r="B6" t="s">
        <v>9</v>
      </c>
      <c r="C6" s="7">
        <v>0.5</v>
      </c>
    </row>
    <row r="7" spans="1:5" x14ac:dyDescent="0.35">
      <c r="B7" t="s">
        <v>10</v>
      </c>
      <c r="C7" s="7">
        <v>0.5</v>
      </c>
    </row>
    <row r="8" spans="1:5" x14ac:dyDescent="0.35">
      <c r="B8" t="s">
        <v>11</v>
      </c>
      <c r="C8" s="7">
        <v>0.5</v>
      </c>
    </row>
    <row r="9" spans="1:5" x14ac:dyDescent="0.35">
      <c r="B9" t="s">
        <v>12</v>
      </c>
      <c r="C9" s="7">
        <v>0.5</v>
      </c>
    </row>
    <row r="10" spans="1:5" ht="15.5" x14ac:dyDescent="0.35">
      <c r="A10" t="s">
        <v>13</v>
      </c>
      <c r="B10" t="s">
        <v>14</v>
      </c>
      <c r="C10" s="7">
        <v>0.8</v>
      </c>
      <c r="D10" t="s">
        <v>15</v>
      </c>
      <c r="E10" s="8" t="s">
        <v>16</v>
      </c>
    </row>
    <row r="13" spans="1:5" x14ac:dyDescent="0.35">
      <c r="A13" s="6" t="s">
        <v>17</v>
      </c>
    </row>
    <row r="16" spans="1:5" x14ac:dyDescent="0.35">
      <c r="B16" t="s">
        <v>18</v>
      </c>
      <c r="C16" t="s">
        <v>19</v>
      </c>
    </row>
    <row r="17" spans="3:3" x14ac:dyDescent="0.35">
      <c r="C17" t="s">
        <v>20</v>
      </c>
    </row>
    <row r="18" spans="3:3" x14ac:dyDescent="0.35">
      <c r="C18" t="s">
        <v>21</v>
      </c>
    </row>
    <row r="19" spans="3:3" x14ac:dyDescent="0.35">
      <c r="C19" t="s">
        <v>22</v>
      </c>
    </row>
  </sheetData>
  <hyperlinks>
    <hyperlink ref="A13" r:id="rId1" location=":~:text=30%20lakhs%20is%20provided%20to,Seed%20cum%20Fertilizer%20Drill%20etc." display="https://www.pib.gov.in/PressReleasePage.aspx?PRID=2082790&amp;reg=3&amp;lang=2 - :~:text=30%20lakhs%20is%20provided%20to,Seed%20cum%20Fertilizer%20Drill%20etc." xr:uid="{046604B0-7A94-494C-821A-443AE601033F}"/>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73C187-0FFD-4E59-9CE4-07E43A5C4451}">
  <sheetPr codeName="Sheet13"/>
  <dimension ref="A1"/>
  <sheetViews>
    <sheetView workbookViewId="0"/>
  </sheetViews>
  <sheetFormatPr defaultRowHeight="14.5" x14ac:dyDescent="0.35"/>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35337-F43F-40F1-AFBB-4CDCF6BD21D0}">
  <sheetPr codeName="Sheet14"/>
  <dimension ref="A1"/>
  <sheetViews>
    <sheetView workbookViewId="0">
      <selection activeCell="B5" sqref="B5"/>
    </sheetView>
  </sheetViews>
  <sheetFormatPr defaultRowHeight="14.5" x14ac:dyDescent="0.35"/>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A2316C-A4DD-4F64-AD8A-C2FE13DE79CC}">
  <sheetPr codeName="Sheet15"/>
  <dimension ref="A1:A9"/>
  <sheetViews>
    <sheetView workbookViewId="0">
      <selection activeCell="D14" sqref="D14"/>
    </sheetView>
  </sheetViews>
  <sheetFormatPr defaultRowHeight="14.5" x14ac:dyDescent="0.35"/>
  <cols>
    <col min="1" max="1" width="11.1796875" bestFit="1" customWidth="1"/>
  </cols>
  <sheetData>
    <row r="1" spans="1:1" x14ac:dyDescent="0.35">
      <c r="A1" t="s">
        <v>350</v>
      </c>
    </row>
    <row r="2" spans="1:1" x14ac:dyDescent="0.35">
      <c r="A2" t="s">
        <v>354</v>
      </c>
    </row>
    <row r="3" spans="1:1" x14ac:dyDescent="0.35">
      <c r="A3" t="s">
        <v>353</v>
      </c>
    </row>
    <row r="4" spans="1:1" x14ac:dyDescent="0.35">
      <c r="A4" t="s">
        <v>20</v>
      </c>
    </row>
    <row r="5" spans="1:1" x14ac:dyDescent="0.35">
      <c r="A5" t="s">
        <v>352</v>
      </c>
    </row>
    <row r="6" spans="1:1" x14ac:dyDescent="0.35">
      <c r="A6" t="s">
        <v>19</v>
      </c>
    </row>
    <row r="7" spans="1:1" x14ac:dyDescent="0.35">
      <c r="A7" t="s">
        <v>351</v>
      </c>
    </row>
    <row r="8" spans="1:1" x14ac:dyDescent="0.35">
      <c r="A8" t="s">
        <v>355</v>
      </c>
    </row>
    <row r="9" spans="1:1" x14ac:dyDescent="0.35">
      <c r="A9" t="s">
        <v>887</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401165-AC63-4964-8D44-0E5579DD6494}">
  <sheetPr codeName="Sheet16"/>
  <dimension ref="A1:Q63"/>
  <sheetViews>
    <sheetView zoomScale="64" zoomScaleNormal="85" workbookViewId="0">
      <pane xSplit="3" ySplit="1" topLeftCell="D25" activePane="bottomRight" state="frozen"/>
      <selection pane="topRight" activeCell="D1" sqref="D1"/>
      <selection pane="bottomLeft" activeCell="A2" sqref="A2"/>
      <selection pane="bottomRight" activeCell="J12" sqref="J12"/>
    </sheetView>
  </sheetViews>
  <sheetFormatPr defaultRowHeight="14.5" x14ac:dyDescent="0.35"/>
  <cols>
    <col min="2" max="2" width="16.453125" bestFit="1" customWidth="1"/>
    <col min="3" max="3" width="28.7265625" bestFit="1" customWidth="1"/>
    <col min="4" max="4" width="10.54296875" bestFit="1" customWidth="1"/>
    <col min="5" max="12" width="13.7265625" customWidth="1"/>
    <col min="13" max="13" width="17" customWidth="1"/>
  </cols>
  <sheetData>
    <row r="1" spans="1:17" x14ac:dyDescent="0.35">
      <c r="B1" s="1" t="s">
        <v>348</v>
      </c>
      <c r="C1" s="1" t="s">
        <v>349</v>
      </c>
      <c r="D1" s="1" t="s">
        <v>350</v>
      </c>
      <c r="E1" s="1" t="s">
        <v>351</v>
      </c>
      <c r="F1" s="1" t="s">
        <v>19</v>
      </c>
      <c r="G1" s="1" t="s">
        <v>20</v>
      </c>
      <c r="H1" s="1" t="s">
        <v>352</v>
      </c>
      <c r="I1" s="1" t="s">
        <v>353</v>
      </c>
      <c r="J1" s="1" t="s">
        <v>354</v>
      </c>
      <c r="K1" s="1" t="s">
        <v>355</v>
      </c>
      <c r="L1" s="1" t="s">
        <v>356</v>
      </c>
      <c r="M1" s="33">
        <v>40</v>
      </c>
      <c r="N1" s="1">
        <v>50</v>
      </c>
      <c r="O1" s="1">
        <v>60</v>
      </c>
      <c r="P1" s="1">
        <v>75</v>
      </c>
      <c r="Q1" t="s">
        <v>357</v>
      </c>
    </row>
    <row r="2" spans="1:17" x14ac:dyDescent="0.35">
      <c r="A2" t="s">
        <v>888</v>
      </c>
      <c r="B2" s="2" t="s">
        <v>358</v>
      </c>
      <c r="C2" s="2" t="s">
        <v>359</v>
      </c>
      <c r="D2" s="31">
        <v>0.4</v>
      </c>
      <c r="E2" s="31">
        <v>0.4</v>
      </c>
      <c r="F2" s="31">
        <v>0.4</v>
      </c>
      <c r="G2" s="31">
        <v>0.4</v>
      </c>
      <c r="H2" s="31">
        <v>0.4</v>
      </c>
      <c r="I2" s="7">
        <v>0.4</v>
      </c>
      <c r="J2" s="7">
        <v>0.5</v>
      </c>
      <c r="K2" s="7">
        <v>0.5</v>
      </c>
      <c r="L2" s="7">
        <v>0.5</v>
      </c>
      <c r="M2">
        <f>COUNTIF(D2:L2,"40%")</f>
        <v>6</v>
      </c>
      <c r="N2">
        <f>COUNTIF(D2:L2,"50%")</f>
        <v>3</v>
      </c>
      <c r="O2">
        <f>COUNTIF(D2:L2,"60%")</f>
        <v>0</v>
      </c>
      <c r="P2">
        <f>COUNTIF(D2:L2,"75%")</f>
        <v>0</v>
      </c>
      <c r="Q2">
        <f>SUM(M2:P2)</f>
        <v>9</v>
      </c>
    </row>
    <row r="3" spans="1:17" x14ac:dyDescent="0.35">
      <c r="A3" t="s">
        <v>889</v>
      </c>
      <c r="B3" s="2" t="s">
        <v>358</v>
      </c>
      <c r="C3" s="2" t="s">
        <v>360</v>
      </c>
      <c r="D3" s="31">
        <v>0.4</v>
      </c>
      <c r="E3" s="2"/>
      <c r="F3" s="31">
        <v>0.4</v>
      </c>
      <c r="G3" s="2"/>
      <c r="H3" s="2"/>
      <c r="I3" s="7">
        <v>0.4</v>
      </c>
      <c r="J3" s="7">
        <v>0.5</v>
      </c>
      <c r="K3" s="7"/>
      <c r="L3" s="7"/>
      <c r="M3">
        <f t="shared" ref="M3:M57" si="0">COUNTIF(D3:L3,"40%")</f>
        <v>3</v>
      </c>
      <c r="N3">
        <f t="shared" ref="N3:N57" si="1">COUNTIF(D3:L3,"50%")</f>
        <v>1</v>
      </c>
      <c r="O3">
        <f t="shared" ref="O3:O57" si="2">COUNTIF(D3:L3,"60%")</f>
        <v>0</v>
      </c>
      <c r="P3">
        <f t="shared" ref="P3:P57" si="3">COUNTIF(D3:L3,"75%")</f>
        <v>0</v>
      </c>
      <c r="Q3">
        <f t="shared" ref="Q3:Q57" si="4">SUM(M3:P3)</f>
        <v>4</v>
      </c>
    </row>
    <row r="4" spans="1:17" x14ac:dyDescent="0.35">
      <c r="B4" s="2" t="s">
        <v>358</v>
      </c>
      <c r="C4" s="2" t="s">
        <v>361</v>
      </c>
      <c r="D4" s="31">
        <v>0.4</v>
      </c>
      <c r="E4" s="2"/>
      <c r="F4" s="2"/>
      <c r="G4" s="2"/>
      <c r="H4" s="2"/>
      <c r="I4" s="7">
        <v>0.4</v>
      </c>
      <c r="J4" s="7">
        <v>0.5</v>
      </c>
      <c r="K4" s="7"/>
      <c r="L4" s="7"/>
      <c r="M4">
        <f t="shared" si="0"/>
        <v>2</v>
      </c>
      <c r="N4">
        <f t="shared" si="1"/>
        <v>1</v>
      </c>
      <c r="O4">
        <f t="shared" si="2"/>
        <v>0</v>
      </c>
      <c r="P4">
        <f t="shared" si="3"/>
        <v>0</v>
      </c>
      <c r="Q4">
        <f t="shared" si="4"/>
        <v>3</v>
      </c>
    </row>
    <row r="5" spans="1:17" x14ac:dyDescent="0.35">
      <c r="B5" s="2" t="s">
        <v>358</v>
      </c>
      <c r="C5" s="2" t="s">
        <v>211</v>
      </c>
      <c r="D5" s="31">
        <v>0.4</v>
      </c>
      <c r="E5" s="2"/>
      <c r="F5" s="2"/>
      <c r="G5" s="2"/>
      <c r="H5" s="2"/>
      <c r="I5" s="7">
        <v>0.4</v>
      </c>
      <c r="J5" s="7">
        <v>0.5</v>
      </c>
      <c r="K5" s="7"/>
      <c r="L5" s="7"/>
      <c r="M5">
        <f t="shared" si="0"/>
        <v>2</v>
      </c>
      <c r="N5">
        <f t="shared" si="1"/>
        <v>1</v>
      </c>
      <c r="O5">
        <f t="shared" si="2"/>
        <v>0</v>
      </c>
      <c r="P5">
        <f t="shared" si="3"/>
        <v>0</v>
      </c>
      <c r="Q5">
        <f t="shared" si="4"/>
        <v>3</v>
      </c>
    </row>
    <row r="6" spans="1:17" x14ac:dyDescent="0.35">
      <c r="B6" s="2" t="s">
        <v>358</v>
      </c>
      <c r="C6" s="2" t="s">
        <v>362</v>
      </c>
      <c r="D6" s="31"/>
      <c r="E6" s="2"/>
      <c r="F6" s="2"/>
      <c r="G6" s="2"/>
      <c r="H6" s="2"/>
      <c r="I6" s="7">
        <v>0.4</v>
      </c>
      <c r="J6" s="7">
        <v>0.5</v>
      </c>
      <c r="K6" s="7"/>
      <c r="L6" s="7"/>
      <c r="M6">
        <f t="shared" si="0"/>
        <v>1</v>
      </c>
      <c r="N6">
        <f t="shared" si="1"/>
        <v>1</v>
      </c>
      <c r="O6">
        <f t="shared" si="2"/>
        <v>0</v>
      </c>
      <c r="P6">
        <f t="shared" si="3"/>
        <v>0</v>
      </c>
      <c r="Q6">
        <f t="shared" si="4"/>
        <v>2</v>
      </c>
    </row>
    <row r="7" spans="1:17" x14ac:dyDescent="0.35">
      <c r="B7" s="2" t="s">
        <v>358</v>
      </c>
      <c r="C7" s="2" t="s">
        <v>214</v>
      </c>
      <c r="D7" s="31">
        <v>0.4</v>
      </c>
      <c r="E7" s="31">
        <v>0.4</v>
      </c>
      <c r="F7" s="31">
        <v>0.4</v>
      </c>
      <c r="G7" s="2"/>
      <c r="H7" s="2"/>
      <c r="I7" s="7">
        <v>0.4</v>
      </c>
      <c r="J7" s="7">
        <v>0.5</v>
      </c>
      <c r="K7" s="7"/>
      <c r="L7" s="7">
        <v>0.5</v>
      </c>
      <c r="M7">
        <f t="shared" si="0"/>
        <v>4</v>
      </c>
      <c r="N7">
        <f t="shared" si="1"/>
        <v>2</v>
      </c>
      <c r="O7">
        <f t="shared" si="2"/>
        <v>0</v>
      </c>
      <c r="P7">
        <f t="shared" si="3"/>
        <v>0</v>
      </c>
      <c r="Q7">
        <f t="shared" si="4"/>
        <v>6</v>
      </c>
    </row>
    <row r="8" spans="1:17" x14ac:dyDescent="0.35">
      <c r="B8" s="2" t="s">
        <v>358</v>
      </c>
      <c r="C8" s="2" t="s">
        <v>363</v>
      </c>
      <c r="D8" s="31">
        <v>0.4</v>
      </c>
      <c r="E8" s="2"/>
      <c r="F8" s="2"/>
      <c r="G8" s="2"/>
      <c r="H8" s="2"/>
      <c r="M8">
        <f t="shared" si="0"/>
        <v>1</v>
      </c>
      <c r="N8">
        <f t="shared" si="1"/>
        <v>0</v>
      </c>
      <c r="O8">
        <f t="shared" si="2"/>
        <v>0</v>
      </c>
      <c r="P8">
        <f t="shared" si="3"/>
        <v>0</v>
      </c>
      <c r="Q8">
        <f t="shared" si="4"/>
        <v>1</v>
      </c>
    </row>
    <row r="9" spans="1:17" x14ac:dyDescent="0.35">
      <c r="A9" t="s">
        <v>888</v>
      </c>
      <c r="B9" s="2" t="s">
        <v>358</v>
      </c>
      <c r="C9" s="2" t="s">
        <v>890</v>
      </c>
      <c r="D9" s="31">
        <v>0.4</v>
      </c>
      <c r="E9" s="31">
        <v>0.4</v>
      </c>
      <c r="F9" s="31">
        <v>0.4</v>
      </c>
      <c r="G9" s="31">
        <v>0.4</v>
      </c>
      <c r="H9" s="2"/>
      <c r="M9">
        <f t="shared" si="0"/>
        <v>4</v>
      </c>
      <c r="N9">
        <f t="shared" si="1"/>
        <v>0</v>
      </c>
      <c r="O9">
        <f t="shared" si="2"/>
        <v>0</v>
      </c>
      <c r="P9">
        <f t="shared" si="3"/>
        <v>0</v>
      </c>
      <c r="Q9">
        <f t="shared" si="4"/>
        <v>4</v>
      </c>
    </row>
    <row r="10" spans="1:17" x14ac:dyDescent="0.35">
      <c r="B10" s="2" t="s">
        <v>358</v>
      </c>
      <c r="C10" s="2" t="s">
        <v>364</v>
      </c>
      <c r="D10" s="31">
        <v>0.4</v>
      </c>
      <c r="E10" s="31">
        <v>0.4</v>
      </c>
      <c r="F10" s="2"/>
      <c r="G10" s="31">
        <v>0.4</v>
      </c>
      <c r="H10" s="2"/>
      <c r="M10">
        <f t="shared" si="0"/>
        <v>3</v>
      </c>
      <c r="N10">
        <f t="shared" si="1"/>
        <v>0</v>
      </c>
      <c r="O10">
        <f t="shared" si="2"/>
        <v>0</v>
      </c>
      <c r="P10">
        <f t="shared" si="3"/>
        <v>0</v>
      </c>
      <c r="Q10">
        <f t="shared" si="4"/>
        <v>3</v>
      </c>
    </row>
    <row r="11" spans="1:17" x14ac:dyDescent="0.35">
      <c r="B11" s="2" t="s">
        <v>358</v>
      </c>
      <c r="C11" s="2" t="s">
        <v>365</v>
      </c>
      <c r="D11" s="31">
        <v>0.4</v>
      </c>
      <c r="E11" s="2"/>
      <c r="F11" s="31">
        <v>0.4</v>
      </c>
      <c r="G11" s="2"/>
      <c r="H11" s="2"/>
      <c r="I11" s="7">
        <v>0.4</v>
      </c>
      <c r="J11" s="7">
        <v>0.5</v>
      </c>
      <c r="M11">
        <f t="shared" si="0"/>
        <v>3</v>
      </c>
      <c r="N11">
        <f t="shared" si="1"/>
        <v>1</v>
      </c>
      <c r="O11">
        <f t="shared" si="2"/>
        <v>0</v>
      </c>
      <c r="P11">
        <f t="shared" si="3"/>
        <v>0</v>
      </c>
      <c r="Q11">
        <f t="shared" si="4"/>
        <v>4</v>
      </c>
    </row>
    <row r="12" spans="1:17" x14ac:dyDescent="0.35">
      <c r="B12" s="2" t="s">
        <v>358</v>
      </c>
      <c r="C12" s="2" t="s">
        <v>366</v>
      </c>
      <c r="D12" s="31">
        <v>0.4</v>
      </c>
      <c r="E12" s="2"/>
      <c r="F12" s="2"/>
      <c r="G12" s="2"/>
      <c r="H12" s="31">
        <v>0.4</v>
      </c>
      <c r="I12" s="7">
        <v>0.4</v>
      </c>
      <c r="L12" s="7">
        <v>0.5</v>
      </c>
      <c r="M12">
        <f t="shared" si="0"/>
        <v>3</v>
      </c>
      <c r="N12">
        <f t="shared" si="1"/>
        <v>1</v>
      </c>
      <c r="O12">
        <f t="shared" si="2"/>
        <v>0</v>
      </c>
      <c r="P12">
        <f t="shared" si="3"/>
        <v>0</v>
      </c>
      <c r="Q12">
        <f t="shared" si="4"/>
        <v>4</v>
      </c>
    </row>
    <row r="13" spans="1:17" x14ac:dyDescent="0.35">
      <c r="B13" s="2" t="s">
        <v>358</v>
      </c>
      <c r="C13" s="2" t="s">
        <v>367</v>
      </c>
      <c r="D13" s="31">
        <v>0.4</v>
      </c>
      <c r="E13" s="2"/>
      <c r="F13" s="2"/>
      <c r="G13" s="2"/>
      <c r="H13" s="2"/>
      <c r="I13" s="7">
        <v>0.4</v>
      </c>
      <c r="M13">
        <f t="shared" si="0"/>
        <v>2</v>
      </c>
      <c r="N13">
        <f t="shared" si="1"/>
        <v>0</v>
      </c>
      <c r="O13">
        <f t="shared" si="2"/>
        <v>0</v>
      </c>
      <c r="P13">
        <f t="shared" si="3"/>
        <v>0</v>
      </c>
      <c r="Q13">
        <f t="shared" si="4"/>
        <v>2</v>
      </c>
    </row>
    <row r="14" spans="1:17" x14ac:dyDescent="0.35">
      <c r="B14" s="2" t="s">
        <v>358</v>
      </c>
      <c r="C14" s="2" t="s">
        <v>368</v>
      </c>
      <c r="D14" s="2"/>
      <c r="E14" s="2"/>
      <c r="F14" s="31">
        <v>0.4</v>
      </c>
      <c r="G14" s="2"/>
      <c r="H14" s="2"/>
      <c r="I14" s="7"/>
      <c r="M14">
        <f t="shared" si="0"/>
        <v>1</v>
      </c>
      <c r="N14">
        <f t="shared" si="1"/>
        <v>0</v>
      </c>
      <c r="O14">
        <f t="shared" si="2"/>
        <v>0</v>
      </c>
      <c r="P14">
        <f t="shared" si="3"/>
        <v>0</v>
      </c>
      <c r="Q14">
        <f t="shared" si="4"/>
        <v>1</v>
      </c>
    </row>
    <row r="15" spans="1:17" x14ac:dyDescent="0.35">
      <c r="B15" s="2" t="s">
        <v>369</v>
      </c>
      <c r="C15" s="2" t="s">
        <v>370</v>
      </c>
      <c r="D15" s="2"/>
      <c r="E15" s="2"/>
      <c r="F15" s="2"/>
      <c r="G15" s="2"/>
      <c r="H15" s="2"/>
      <c r="I15" s="7">
        <v>0.4</v>
      </c>
      <c r="J15" s="7">
        <v>0.5</v>
      </c>
      <c r="K15" s="7"/>
      <c r="L15" s="7"/>
      <c r="M15">
        <f t="shared" si="0"/>
        <v>1</v>
      </c>
      <c r="N15">
        <f t="shared" si="1"/>
        <v>1</v>
      </c>
      <c r="O15">
        <f t="shared" si="2"/>
        <v>0</v>
      </c>
      <c r="P15">
        <f t="shared" si="3"/>
        <v>0</v>
      </c>
      <c r="Q15">
        <f t="shared" si="4"/>
        <v>2</v>
      </c>
    </row>
    <row r="16" spans="1:17" x14ac:dyDescent="0.35">
      <c r="B16" s="2" t="s">
        <v>369</v>
      </c>
      <c r="C16" s="2" t="s">
        <v>371</v>
      </c>
      <c r="D16" s="31">
        <v>0.4</v>
      </c>
      <c r="E16" s="31">
        <v>0.4</v>
      </c>
      <c r="F16" s="31">
        <v>0.4</v>
      </c>
      <c r="G16" s="2"/>
      <c r="H16" s="2"/>
      <c r="I16" s="7">
        <v>0.4</v>
      </c>
      <c r="M16">
        <f t="shared" si="0"/>
        <v>4</v>
      </c>
      <c r="N16">
        <f t="shared" si="1"/>
        <v>0</v>
      </c>
      <c r="O16">
        <f t="shared" si="2"/>
        <v>0</v>
      </c>
      <c r="P16">
        <f t="shared" si="3"/>
        <v>0</v>
      </c>
      <c r="Q16">
        <f t="shared" si="4"/>
        <v>4</v>
      </c>
    </row>
    <row r="17" spans="1:17" x14ac:dyDescent="0.35">
      <c r="B17" s="2" t="s">
        <v>369</v>
      </c>
      <c r="C17" s="2" t="s">
        <v>372</v>
      </c>
      <c r="D17" s="31">
        <v>0.75</v>
      </c>
      <c r="E17" s="31">
        <v>0.4</v>
      </c>
      <c r="F17" s="31">
        <v>0.4</v>
      </c>
      <c r="G17" s="2"/>
      <c r="H17" s="2"/>
      <c r="I17" s="7">
        <v>0.4</v>
      </c>
      <c r="M17">
        <f t="shared" si="0"/>
        <v>3</v>
      </c>
      <c r="N17">
        <f t="shared" si="1"/>
        <v>0</v>
      </c>
      <c r="O17">
        <f t="shared" si="2"/>
        <v>0</v>
      </c>
      <c r="P17">
        <f t="shared" si="3"/>
        <v>1</v>
      </c>
      <c r="Q17">
        <f t="shared" si="4"/>
        <v>4</v>
      </c>
    </row>
    <row r="18" spans="1:17" x14ac:dyDescent="0.35">
      <c r="A18" t="s">
        <v>888</v>
      </c>
      <c r="B18" s="2" t="s">
        <v>369</v>
      </c>
      <c r="C18" s="2" t="s">
        <v>7</v>
      </c>
      <c r="D18" s="31">
        <v>0.75</v>
      </c>
      <c r="E18" s="2"/>
      <c r="F18" s="31">
        <v>0.4</v>
      </c>
      <c r="G18" s="2"/>
      <c r="H18" s="2"/>
      <c r="I18" s="7">
        <v>0.4</v>
      </c>
      <c r="L18" s="7">
        <v>0.5</v>
      </c>
      <c r="M18">
        <f t="shared" si="0"/>
        <v>2</v>
      </c>
      <c r="N18">
        <f t="shared" si="1"/>
        <v>1</v>
      </c>
      <c r="O18">
        <f t="shared" si="2"/>
        <v>0</v>
      </c>
      <c r="P18">
        <f t="shared" si="3"/>
        <v>1</v>
      </c>
      <c r="Q18">
        <f t="shared" si="4"/>
        <v>4</v>
      </c>
    </row>
    <row r="19" spans="1:17" x14ac:dyDescent="0.35">
      <c r="B19" s="2" t="s">
        <v>369</v>
      </c>
      <c r="C19" s="2" t="s">
        <v>223</v>
      </c>
      <c r="D19" s="31">
        <v>0.4</v>
      </c>
      <c r="E19" s="31">
        <v>0.4</v>
      </c>
      <c r="F19" s="31">
        <v>0.4</v>
      </c>
      <c r="G19" s="31">
        <v>0.4</v>
      </c>
      <c r="H19" s="2"/>
      <c r="M19">
        <f t="shared" si="0"/>
        <v>4</v>
      </c>
      <c r="N19">
        <f t="shared" si="1"/>
        <v>0</v>
      </c>
      <c r="O19">
        <f t="shared" si="2"/>
        <v>0</v>
      </c>
      <c r="P19">
        <f t="shared" si="3"/>
        <v>0</v>
      </c>
      <c r="Q19">
        <f t="shared" si="4"/>
        <v>4</v>
      </c>
    </row>
    <row r="20" spans="1:17" x14ac:dyDescent="0.35">
      <c r="B20" s="2" t="s">
        <v>369</v>
      </c>
      <c r="C20" s="2" t="s">
        <v>199</v>
      </c>
      <c r="D20" s="31">
        <v>0.4</v>
      </c>
      <c r="E20" s="2"/>
      <c r="F20" s="31">
        <v>0.4</v>
      </c>
      <c r="G20" s="31">
        <v>0.4</v>
      </c>
      <c r="H20" s="2"/>
      <c r="J20" s="7"/>
      <c r="M20">
        <f t="shared" si="0"/>
        <v>3</v>
      </c>
      <c r="N20">
        <f t="shared" si="1"/>
        <v>0</v>
      </c>
      <c r="O20">
        <f t="shared" si="2"/>
        <v>0</v>
      </c>
      <c r="P20">
        <f t="shared" si="3"/>
        <v>0</v>
      </c>
      <c r="Q20">
        <f t="shared" si="4"/>
        <v>3</v>
      </c>
    </row>
    <row r="21" spans="1:17" x14ac:dyDescent="0.35">
      <c r="B21" s="2" t="s">
        <v>369</v>
      </c>
      <c r="C21" s="2" t="s">
        <v>373</v>
      </c>
      <c r="D21" s="31">
        <v>0.4</v>
      </c>
      <c r="E21" s="2"/>
      <c r="F21" s="2"/>
      <c r="G21" s="2"/>
      <c r="H21" s="2"/>
      <c r="M21">
        <f t="shared" si="0"/>
        <v>1</v>
      </c>
      <c r="N21">
        <f t="shared" si="1"/>
        <v>0</v>
      </c>
      <c r="O21">
        <f t="shared" si="2"/>
        <v>0</v>
      </c>
      <c r="P21">
        <f t="shared" si="3"/>
        <v>0</v>
      </c>
      <c r="Q21">
        <f t="shared" si="4"/>
        <v>1</v>
      </c>
    </row>
    <row r="22" spans="1:17" x14ac:dyDescent="0.35">
      <c r="B22" s="2" t="s">
        <v>369</v>
      </c>
      <c r="C22" s="2" t="s">
        <v>224</v>
      </c>
      <c r="D22" s="31">
        <v>0.4</v>
      </c>
      <c r="E22" s="2"/>
      <c r="F22" s="2"/>
      <c r="G22" s="2"/>
      <c r="H22" s="2"/>
      <c r="M22">
        <f t="shared" si="0"/>
        <v>1</v>
      </c>
      <c r="N22">
        <f t="shared" si="1"/>
        <v>0</v>
      </c>
      <c r="O22">
        <f t="shared" si="2"/>
        <v>0</v>
      </c>
      <c r="P22">
        <f t="shared" si="3"/>
        <v>0</v>
      </c>
      <c r="Q22">
        <f t="shared" si="4"/>
        <v>1</v>
      </c>
    </row>
    <row r="23" spans="1:17" x14ac:dyDescent="0.35">
      <c r="B23" s="2" t="s">
        <v>369</v>
      </c>
      <c r="C23" s="2" t="s">
        <v>374</v>
      </c>
      <c r="D23" s="31">
        <v>0.4</v>
      </c>
      <c r="E23" s="2"/>
      <c r="F23" s="2"/>
      <c r="G23" s="31">
        <v>0.4</v>
      </c>
      <c r="H23" s="2"/>
      <c r="L23" s="7">
        <v>0.5</v>
      </c>
      <c r="M23">
        <f t="shared" si="0"/>
        <v>2</v>
      </c>
      <c r="N23">
        <f t="shared" si="1"/>
        <v>1</v>
      </c>
      <c r="O23">
        <f t="shared" si="2"/>
        <v>0</v>
      </c>
      <c r="P23">
        <f t="shared" si="3"/>
        <v>0</v>
      </c>
      <c r="Q23">
        <f t="shared" si="4"/>
        <v>3</v>
      </c>
    </row>
    <row r="24" spans="1:17" x14ac:dyDescent="0.35">
      <c r="B24" s="2" t="s">
        <v>369</v>
      </c>
      <c r="C24" s="2" t="s">
        <v>375</v>
      </c>
      <c r="D24" s="31">
        <v>0.4</v>
      </c>
      <c r="E24" s="31">
        <v>0.4</v>
      </c>
      <c r="F24" s="31">
        <v>0.4</v>
      </c>
      <c r="G24" s="31">
        <v>0.4</v>
      </c>
      <c r="H24" s="2"/>
      <c r="I24" s="7">
        <v>0.4</v>
      </c>
      <c r="J24" s="7">
        <v>0.5</v>
      </c>
      <c r="K24" s="7"/>
      <c r="L24" s="7"/>
      <c r="M24">
        <f t="shared" si="0"/>
        <v>5</v>
      </c>
      <c r="N24">
        <f t="shared" si="1"/>
        <v>1</v>
      </c>
      <c r="O24">
        <f t="shared" si="2"/>
        <v>0</v>
      </c>
      <c r="P24">
        <f t="shared" si="3"/>
        <v>0</v>
      </c>
      <c r="Q24">
        <f t="shared" si="4"/>
        <v>6</v>
      </c>
    </row>
    <row r="25" spans="1:17" x14ac:dyDescent="0.35">
      <c r="B25" s="2" t="s">
        <v>369</v>
      </c>
      <c r="C25" s="2" t="s">
        <v>376</v>
      </c>
      <c r="D25" s="31">
        <v>0.4</v>
      </c>
      <c r="E25" s="2"/>
      <c r="F25" s="2"/>
      <c r="G25" s="31">
        <v>0.4</v>
      </c>
      <c r="H25" s="31">
        <v>0.4</v>
      </c>
      <c r="J25" s="7">
        <v>0.5</v>
      </c>
      <c r="K25" s="7"/>
      <c r="L25" s="7"/>
      <c r="M25">
        <f t="shared" si="0"/>
        <v>3</v>
      </c>
      <c r="N25">
        <f t="shared" si="1"/>
        <v>1</v>
      </c>
      <c r="O25">
        <f t="shared" si="2"/>
        <v>0</v>
      </c>
      <c r="P25">
        <f t="shared" si="3"/>
        <v>0</v>
      </c>
      <c r="Q25">
        <f t="shared" si="4"/>
        <v>4</v>
      </c>
    </row>
    <row r="26" spans="1:17" x14ac:dyDescent="0.35">
      <c r="B26" s="2" t="s">
        <v>369</v>
      </c>
      <c r="C26" s="2" t="s">
        <v>377</v>
      </c>
      <c r="D26" s="31">
        <v>0.4</v>
      </c>
      <c r="E26" s="31">
        <v>0.4</v>
      </c>
      <c r="F26" s="31">
        <v>0.4</v>
      </c>
      <c r="G26" s="31">
        <v>0.4</v>
      </c>
      <c r="H26" s="2"/>
      <c r="L26" s="7">
        <v>0.5</v>
      </c>
      <c r="M26">
        <f t="shared" si="0"/>
        <v>4</v>
      </c>
      <c r="N26">
        <f t="shared" si="1"/>
        <v>1</v>
      </c>
      <c r="O26">
        <f t="shared" si="2"/>
        <v>0</v>
      </c>
      <c r="P26">
        <f t="shared" si="3"/>
        <v>0</v>
      </c>
      <c r="Q26">
        <f t="shared" si="4"/>
        <v>5</v>
      </c>
    </row>
    <row r="27" spans="1:17" x14ac:dyDescent="0.35">
      <c r="B27" s="2" t="s">
        <v>378</v>
      </c>
      <c r="C27" s="2" t="s">
        <v>379</v>
      </c>
      <c r="D27" s="2"/>
      <c r="E27" s="31">
        <v>0.4</v>
      </c>
      <c r="F27" s="31">
        <v>0.4</v>
      </c>
      <c r="G27" s="31">
        <v>0.4</v>
      </c>
      <c r="H27" s="2"/>
      <c r="M27">
        <f t="shared" si="0"/>
        <v>3</v>
      </c>
      <c r="N27">
        <f t="shared" si="1"/>
        <v>0</v>
      </c>
      <c r="O27">
        <f t="shared" si="2"/>
        <v>0</v>
      </c>
      <c r="P27">
        <f t="shared" si="3"/>
        <v>0</v>
      </c>
      <c r="Q27">
        <f t="shared" si="4"/>
        <v>3</v>
      </c>
    </row>
    <row r="28" spans="1:17" x14ac:dyDescent="0.35">
      <c r="B28" s="2" t="s">
        <v>378</v>
      </c>
      <c r="C28" s="2" t="s">
        <v>380</v>
      </c>
      <c r="D28" s="2"/>
      <c r="E28" s="31">
        <v>0.4</v>
      </c>
      <c r="F28" s="2"/>
      <c r="G28" s="31">
        <v>0.4</v>
      </c>
      <c r="H28" s="2"/>
      <c r="M28">
        <f t="shared" si="0"/>
        <v>2</v>
      </c>
      <c r="N28">
        <f t="shared" si="1"/>
        <v>0</v>
      </c>
      <c r="O28">
        <f t="shared" si="2"/>
        <v>0</v>
      </c>
      <c r="P28">
        <f t="shared" si="3"/>
        <v>0</v>
      </c>
      <c r="Q28">
        <f t="shared" si="4"/>
        <v>2</v>
      </c>
    </row>
    <row r="29" spans="1:17" x14ac:dyDescent="0.35">
      <c r="B29" s="2" t="s">
        <v>378</v>
      </c>
      <c r="C29" s="2" t="s">
        <v>381</v>
      </c>
      <c r="D29" s="2"/>
      <c r="E29" s="31">
        <v>0.4</v>
      </c>
      <c r="F29" s="2"/>
      <c r="G29" s="2"/>
      <c r="H29" s="2"/>
      <c r="M29">
        <f t="shared" si="0"/>
        <v>1</v>
      </c>
      <c r="N29">
        <f t="shared" si="1"/>
        <v>0</v>
      </c>
      <c r="O29">
        <f t="shared" si="2"/>
        <v>0</v>
      </c>
      <c r="P29">
        <f t="shared" si="3"/>
        <v>0</v>
      </c>
      <c r="Q29">
        <f t="shared" si="4"/>
        <v>1</v>
      </c>
    </row>
    <row r="30" spans="1:17" x14ac:dyDescent="0.35">
      <c r="A30" t="s">
        <v>891</v>
      </c>
      <c r="B30" s="2" t="s">
        <v>378</v>
      </c>
      <c r="C30" s="2" t="s">
        <v>382</v>
      </c>
      <c r="D30" s="31">
        <v>0.4</v>
      </c>
      <c r="E30" s="2"/>
      <c r="F30" s="31">
        <v>0.4</v>
      </c>
      <c r="G30" s="31">
        <v>0.4</v>
      </c>
      <c r="H30" s="31">
        <v>0.4</v>
      </c>
      <c r="J30" s="7"/>
      <c r="M30">
        <f t="shared" si="0"/>
        <v>4</v>
      </c>
      <c r="N30">
        <f t="shared" si="1"/>
        <v>0</v>
      </c>
      <c r="O30">
        <f t="shared" si="2"/>
        <v>0</v>
      </c>
      <c r="P30">
        <f t="shared" si="3"/>
        <v>0</v>
      </c>
      <c r="Q30">
        <f t="shared" si="4"/>
        <v>4</v>
      </c>
    </row>
    <row r="31" spans="1:17" x14ac:dyDescent="0.35">
      <c r="B31" s="2" t="s">
        <v>378</v>
      </c>
      <c r="C31" s="2" t="s">
        <v>383</v>
      </c>
      <c r="D31" s="31">
        <v>0.5</v>
      </c>
      <c r="E31" s="2"/>
      <c r="F31" s="2"/>
      <c r="G31" s="2"/>
      <c r="H31" s="2"/>
      <c r="M31">
        <f t="shared" si="0"/>
        <v>0</v>
      </c>
      <c r="N31">
        <f t="shared" si="1"/>
        <v>1</v>
      </c>
      <c r="O31">
        <f t="shared" si="2"/>
        <v>0</v>
      </c>
      <c r="P31">
        <f t="shared" si="3"/>
        <v>0</v>
      </c>
      <c r="Q31">
        <f t="shared" si="4"/>
        <v>1</v>
      </c>
    </row>
    <row r="32" spans="1:17" x14ac:dyDescent="0.35">
      <c r="B32" s="2" t="s">
        <v>378</v>
      </c>
      <c r="C32" s="2" t="s">
        <v>384</v>
      </c>
      <c r="D32" s="31">
        <v>0.4</v>
      </c>
      <c r="E32" s="2"/>
      <c r="F32" s="31">
        <v>0.4</v>
      </c>
      <c r="G32" s="31">
        <v>0.4</v>
      </c>
      <c r="H32" s="31">
        <v>0.4</v>
      </c>
      <c r="M32">
        <f t="shared" si="0"/>
        <v>4</v>
      </c>
      <c r="N32">
        <f t="shared" si="1"/>
        <v>0</v>
      </c>
      <c r="O32">
        <f t="shared" si="2"/>
        <v>0</v>
      </c>
      <c r="P32">
        <f t="shared" si="3"/>
        <v>0</v>
      </c>
      <c r="Q32">
        <f t="shared" si="4"/>
        <v>4</v>
      </c>
    </row>
    <row r="33" spans="1:17" x14ac:dyDescent="0.35">
      <c r="B33" s="2" t="s">
        <v>378</v>
      </c>
      <c r="C33" s="2" t="s">
        <v>385</v>
      </c>
      <c r="D33" s="31">
        <v>0.4</v>
      </c>
      <c r="E33" s="2"/>
      <c r="F33" s="2"/>
      <c r="G33" s="2"/>
      <c r="H33" s="2"/>
      <c r="M33">
        <f t="shared" si="0"/>
        <v>1</v>
      </c>
      <c r="N33">
        <f t="shared" si="1"/>
        <v>0</v>
      </c>
      <c r="O33">
        <f t="shared" si="2"/>
        <v>0</v>
      </c>
      <c r="P33">
        <f t="shared" si="3"/>
        <v>0</v>
      </c>
      <c r="Q33">
        <f t="shared" si="4"/>
        <v>1</v>
      </c>
    </row>
    <row r="34" spans="1:17" x14ac:dyDescent="0.35">
      <c r="B34" s="2" t="s">
        <v>378</v>
      </c>
      <c r="C34" s="2" t="s">
        <v>258</v>
      </c>
      <c r="D34" s="31">
        <v>0.4</v>
      </c>
      <c r="E34" s="2"/>
      <c r="F34" s="2"/>
      <c r="G34" s="2"/>
      <c r="H34" s="2"/>
      <c r="M34">
        <f t="shared" si="0"/>
        <v>1</v>
      </c>
      <c r="N34">
        <f t="shared" si="1"/>
        <v>0</v>
      </c>
      <c r="O34">
        <f t="shared" si="2"/>
        <v>0</v>
      </c>
      <c r="P34">
        <f t="shared" si="3"/>
        <v>0</v>
      </c>
      <c r="Q34">
        <f t="shared" si="4"/>
        <v>1</v>
      </c>
    </row>
    <row r="35" spans="1:17" x14ac:dyDescent="0.35">
      <c r="B35" s="2" t="s">
        <v>378</v>
      </c>
      <c r="C35" s="2" t="s">
        <v>386</v>
      </c>
      <c r="D35" s="2"/>
      <c r="E35" s="2"/>
      <c r="F35" s="31">
        <v>0.4</v>
      </c>
      <c r="G35" s="2"/>
      <c r="H35" s="31">
        <v>0.4</v>
      </c>
      <c r="L35" s="7">
        <v>0.5</v>
      </c>
      <c r="M35">
        <f t="shared" si="0"/>
        <v>2</v>
      </c>
      <c r="N35">
        <f t="shared" si="1"/>
        <v>1</v>
      </c>
      <c r="O35">
        <f t="shared" si="2"/>
        <v>0</v>
      </c>
      <c r="P35">
        <f t="shared" si="3"/>
        <v>0</v>
      </c>
      <c r="Q35">
        <f t="shared" si="4"/>
        <v>3</v>
      </c>
    </row>
    <row r="36" spans="1:17" ht="29" x14ac:dyDescent="0.35">
      <c r="B36" s="2" t="s">
        <v>378</v>
      </c>
      <c r="C36" s="2" t="s">
        <v>387</v>
      </c>
      <c r="D36" s="2"/>
      <c r="E36" s="2"/>
      <c r="F36" s="31">
        <v>0.4</v>
      </c>
      <c r="G36" s="2"/>
      <c r="H36" s="2"/>
      <c r="M36">
        <f t="shared" si="0"/>
        <v>1</v>
      </c>
      <c r="N36">
        <f t="shared" si="1"/>
        <v>0</v>
      </c>
      <c r="O36">
        <f t="shared" si="2"/>
        <v>0</v>
      </c>
      <c r="P36">
        <f t="shared" si="3"/>
        <v>0</v>
      </c>
      <c r="Q36">
        <f t="shared" si="4"/>
        <v>1</v>
      </c>
    </row>
    <row r="37" spans="1:17" x14ac:dyDescent="0.35">
      <c r="B37" s="2" t="s">
        <v>388</v>
      </c>
      <c r="C37" s="2" t="s">
        <v>389</v>
      </c>
      <c r="D37" s="31">
        <v>0.4</v>
      </c>
      <c r="E37" s="2"/>
      <c r="F37" s="2"/>
      <c r="G37" s="2"/>
      <c r="H37" s="31">
        <v>0.4</v>
      </c>
      <c r="K37" s="7">
        <v>0.5</v>
      </c>
      <c r="M37">
        <f t="shared" si="0"/>
        <v>2</v>
      </c>
      <c r="N37">
        <f t="shared" si="1"/>
        <v>1</v>
      </c>
      <c r="O37">
        <f t="shared" si="2"/>
        <v>0</v>
      </c>
      <c r="P37">
        <f t="shared" si="3"/>
        <v>0</v>
      </c>
      <c r="Q37">
        <f t="shared" si="4"/>
        <v>3</v>
      </c>
    </row>
    <row r="38" spans="1:17" x14ac:dyDescent="0.35">
      <c r="B38" s="2" t="s">
        <v>388</v>
      </c>
      <c r="C38" s="2" t="s">
        <v>390</v>
      </c>
      <c r="D38" s="31">
        <v>0.4</v>
      </c>
      <c r="E38" s="31">
        <v>0.4</v>
      </c>
      <c r="F38" s="31">
        <v>0.4</v>
      </c>
      <c r="G38" s="2"/>
      <c r="H38" s="31">
        <v>0.4</v>
      </c>
      <c r="I38" s="7">
        <v>0.4</v>
      </c>
      <c r="M38">
        <f t="shared" si="0"/>
        <v>5</v>
      </c>
      <c r="N38">
        <f t="shared" si="1"/>
        <v>0</v>
      </c>
      <c r="O38">
        <f t="shared" si="2"/>
        <v>0</v>
      </c>
      <c r="P38">
        <f t="shared" si="3"/>
        <v>0</v>
      </c>
      <c r="Q38">
        <f t="shared" si="4"/>
        <v>5</v>
      </c>
    </row>
    <row r="39" spans="1:17" x14ac:dyDescent="0.35">
      <c r="B39" s="2" t="s">
        <v>388</v>
      </c>
      <c r="C39" s="2" t="s">
        <v>391</v>
      </c>
      <c r="D39" s="2"/>
      <c r="E39" s="31">
        <v>0.4</v>
      </c>
      <c r="F39" s="2"/>
      <c r="G39" s="2"/>
      <c r="H39" s="31">
        <v>0.4</v>
      </c>
      <c r="M39">
        <f t="shared" si="0"/>
        <v>2</v>
      </c>
      <c r="N39">
        <f t="shared" si="1"/>
        <v>0</v>
      </c>
      <c r="O39">
        <f t="shared" si="2"/>
        <v>0</v>
      </c>
      <c r="P39">
        <f t="shared" si="3"/>
        <v>0</v>
      </c>
      <c r="Q39">
        <f t="shared" si="4"/>
        <v>2</v>
      </c>
    </row>
    <row r="40" spans="1:17" x14ac:dyDescent="0.35">
      <c r="B40" s="2" t="s">
        <v>388</v>
      </c>
      <c r="C40" s="2" t="s">
        <v>392</v>
      </c>
      <c r="D40" s="2"/>
      <c r="E40" s="31">
        <v>0.4</v>
      </c>
      <c r="F40" s="31">
        <v>0.4</v>
      </c>
      <c r="G40" s="2"/>
      <c r="H40" s="2"/>
      <c r="I40" s="7">
        <v>0.4</v>
      </c>
      <c r="K40" s="7">
        <v>0.5</v>
      </c>
      <c r="M40">
        <f t="shared" si="0"/>
        <v>3</v>
      </c>
      <c r="N40">
        <f t="shared" si="1"/>
        <v>1</v>
      </c>
      <c r="O40">
        <f t="shared" si="2"/>
        <v>0</v>
      </c>
      <c r="P40">
        <f t="shared" si="3"/>
        <v>0</v>
      </c>
      <c r="Q40">
        <f t="shared" si="4"/>
        <v>4</v>
      </c>
    </row>
    <row r="41" spans="1:17" x14ac:dyDescent="0.35">
      <c r="B41" s="2" t="s">
        <v>388</v>
      </c>
      <c r="C41" s="2" t="s">
        <v>393</v>
      </c>
      <c r="D41" s="31">
        <v>0.4</v>
      </c>
      <c r="E41" s="31">
        <v>0.4</v>
      </c>
      <c r="F41" s="2"/>
      <c r="G41" s="2"/>
      <c r="H41" s="2"/>
      <c r="I41" s="7">
        <v>0.4</v>
      </c>
      <c r="M41">
        <f t="shared" si="0"/>
        <v>3</v>
      </c>
      <c r="N41">
        <f t="shared" si="1"/>
        <v>0</v>
      </c>
      <c r="O41">
        <f t="shared" si="2"/>
        <v>0</v>
      </c>
      <c r="P41">
        <f t="shared" si="3"/>
        <v>0</v>
      </c>
      <c r="Q41">
        <f t="shared" si="4"/>
        <v>3</v>
      </c>
    </row>
    <row r="42" spans="1:17" x14ac:dyDescent="0.35">
      <c r="B42" s="2" t="s">
        <v>388</v>
      </c>
      <c r="C42" s="2" t="s">
        <v>394</v>
      </c>
      <c r="D42" s="2"/>
      <c r="E42" s="31">
        <v>0.4</v>
      </c>
      <c r="F42" s="2"/>
      <c r="G42" s="2"/>
      <c r="H42" s="2"/>
      <c r="I42" s="7">
        <v>0.4</v>
      </c>
      <c r="M42">
        <f t="shared" si="0"/>
        <v>2</v>
      </c>
      <c r="N42">
        <f t="shared" si="1"/>
        <v>0</v>
      </c>
      <c r="O42">
        <f t="shared" si="2"/>
        <v>0</v>
      </c>
      <c r="P42">
        <f t="shared" si="3"/>
        <v>0</v>
      </c>
      <c r="Q42">
        <f t="shared" si="4"/>
        <v>2</v>
      </c>
    </row>
    <row r="43" spans="1:17" x14ac:dyDescent="0.35">
      <c r="B43" s="2" t="s">
        <v>388</v>
      </c>
      <c r="C43" s="2" t="s">
        <v>395</v>
      </c>
      <c r="D43" s="2"/>
      <c r="E43" s="2"/>
      <c r="F43" s="31">
        <v>0.4</v>
      </c>
      <c r="G43" s="31">
        <v>0.4</v>
      </c>
      <c r="H43" s="2"/>
      <c r="I43" s="7">
        <v>0.4</v>
      </c>
      <c r="K43" s="7">
        <v>0.4</v>
      </c>
      <c r="M43">
        <f t="shared" si="0"/>
        <v>4</v>
      </c>
      <c r="N43">
        <f t="shared" si="1"/>
        <v>0</v>
      </c>
      <c r="O43">
        <f t="shared" si="2"/>
        <v>0</v>
      </c>
      <c r="P43">
        <f t="shared" si="3"/>
        <v>0</v>
      </c>
      <c r="Q43">
        <f t="shared" si="4"/>
        <v>4</v>
      </c>
    </row>
    <row r="44" spans="1:17" x14ac:dyDescent="0.35">
      <c r="A44" t="s">
        <v>891</v>
      </c>
      <c r="B44" s="2" t="s">
        <v>396</v>
      </c>
      <c r="C44" s="2" t="s">
        <v>397</v>
      </c>
      <c r="D44" s="31">
        <v>0.75</v>
      </c>
      <c r="E44" s="2"/>
      <c r="F44" s="2"/>
      <c r="G44" s="2"/>
      <c r="H44" s="2"/>
      <c r="K44" s="7">
        <v>0.5</v>
      </c>
      <c r="L44" s="7">
        <v>0.5</v>
      </c>
      <c r="M44">
        <f t="shared" si="0"/>
        <v>0</v>
      </c>
      <c r="N44">
        <f t="shared" si="1"/>
        <v>2</v>
      </c>
      <c r="O44">
        <f t="shared" si="2"/>
        <v>0</v>
      </c>
      <c r="P44">
        <f t="shared" si="3"/>
        <v>1</v>
      </c>
      <c r="Q44">
        <f t="shared" si="4"/>
        <v>3</v>
      </c>
    </row>
    <row r="45" spans="1:17" x14ac:dyDescent="0.35">
      <c r="B45" s="2" t="s">
        <v>396</v>
      </c>
      <c r="C45" s="2" t="s">
        <v>398</v>
      </c>
      <c r="D45" s="31">
        <v>0.75</v>
      </c>
      <c r="E45" s="31">
        <v>0.4</v>
      </c>
      <c r="F45" s="2"/>
      <c r="G45" s="2"/>
      <c r="H45" s="2"/>
      <c r="M45">
        <f t="shared" si="0"/>
        <v>1</v>
      </c>
      <c r="N45">
        <f t="shared" si="1"/>
        <v>0</v>
      </c>
      <c r="O45">
        <f t="shared" si="2"/>
        <v>0</v>
      </c>
      <c r="P45">
        <f t="shared" si="3"/>
        <v>1</v>
      </c>
      <c r="Q45">
        <f t="shared" si="4"/>
        <v>2</v>
      </c>
    </row>
    <row r="46" spans="1:17" x14ac:dyDescent="0.35">
      <c r="B46" s="2" t="s">
        <v>396</v>
      </c>
      <c r="C46" s="2" t="s">
        <v>399</v>
      </c>
      <c r="D46" s="31">
        <v>0.75</v>
      </c>
      <c r="E46" s="2"/>
      <c r="F46" s="31">
        <v>0.6</v>
      </c>
      <c r="G46" s="2"/>
      <c r="H46" s="2"/>
      <c r="I46" s="7">
        <v>0.4</v>
      </c>
      <c r="M46">
        <f t="shared" si="0"/>
        <v>1</v>
      </c>
      <c r="N46">
        <f t="shared" si="1"/>
        <v>0</v>
      </c>
      <c r="O46">
        <f t="shared" si="2"/>
        <v>1</v>
      </c>
      <c r="P46">
        <f t="shared" si="3"/>
        <v>1</v>
      </c>
      <c r="Q46">
        <f t="shared" si="4"/>
        <v>3</v>
      </c>
    </row>
    <row r="47" spans="1:17" x14ac:dyDescent="0.35">
      <c r="A47" t="s">
        <v>888</v>
      </c>
      <c r="B47" s="2" t="s">
        <v>396</v>
      </c>
      <c r="C47" s="2" t="s">
        <v>400</v>
      </c>
      <c r="D47" s="31">
        <v>0.4</v>
      </c>
      <c r="E47" s="31">
        <v>0.4</v>
      </c>
      <c r="F47" s="2"/>
      <c r="G47" s="31">
        <v>0.4</v>
      </c>
      <c r="H47" s="31">
        <v>0.4</v>
      </c>
      <c r="I47" s="7">
        <v>0.4</v>
      </c>
      <c r="L47" s="7">
        <v>0.5</v>
      </c>
      <c r="M47">
        <f t="shared" si="0"/>
        <v>5</v>
      </c>
      <c r="N47">
        <f t="shared" si="1"/>
        <v>1</v>
      </c>
      <c r="O47">
        <f t="shared" si="2"/>
        <v>0</v>
      </c>
      <c r="P47">
        <f t="shared" si="3"/>
        <v>0</v>
      </c>
      <c r="Q47">
        <f t="shared" si="4"/>
        <v>6</v>
      </c>
    </row>
    <row r="48" spans="1:17" x14ac:dyDescent="0.35">
      <c r="B48" s="2" t="s">
        <v>396</v>
      </c>
      <c r="C48" s="2" t="s">
        <v>401</v>
      </c>
      <c r="D48" s="31">
        <v>0.4</v>
      </c>
      <c r="E48" s="2"/>
      <c r="F48" s="2"/>
      <c r="G48" s="2"/>
      <c r="H48" s="2"/>
      <c r="K48" s="7">
        <v>0.5</v>
      </c>
      <c r="M48">
        <f t="shared" si="0"/>
        <v>1</v>
      </c>
      <c r="N48">
        <f t="shared" si="1"/>
        <v>1</v>
      </c>
      <c r="O48">
        <f t="shared" si="2"/>
        <v>0</v>
      </c>
      <c r="P48">
        <f t="shared" si="3"/>
        <v>0</v>
      </c>
      <c r="Q48">
        <f t="shared" si="4"/>
        <v>2</v>
      </c>
    </row>
    <row r="49" spans="1:17" x14ac:dyDescent="0.35">
      <c r="B49" s="2" t="s">
        <v>396</v>
      </c>
      <c r="C49" s="2" t="s">
        <v>402</v>
      </c>
      <c r="D49" s="31">
        <v>0.4</v>
      </c>
      <c r="E49" s="2"/>
      <c r="F49" s="2"/>
      <c r="G49" s="31">
        <v>0.4</v>
      </c>
      <c r="H49" s="2"/>
      <c r="I49" s="7">
        <v>0.4</v>
      </c>
      <c r="M49">
        <f t="shared" si="0"/>
        <v>3</v>
      </c>
      <c r="N49">
        <f t="shared" si="1"/>
        <v>0</v>
      </c>
      <c r="O49">
        <f t="shared" si="2"/>
        <v>0</v>
      </c>
      <c r="P49">
        <f t="shared" si="3"/>
        <v>0</v>
      </c>
      <c r="Q49">
        <f t="shared" si="4"/>
        <v>3</v>
      </c>
    </row>
    <row r="50" spans="1:17" x14ac:dyDescent="0.35">
      <c r="B50" s="2" t="s">
        <v>396</v>
      </c>
      <c r="C50" s="2" t="s">
        <v>403</v>
      </c>
      <c r="D50" s="31">
        <v>0.75</v>
      </c>
      <c r="E50" s="31">
        <v>0.4</v>
      </c>
      <c r="F50" s="31">
        <v>0.6</v>
      </c>
      <c r="G50" s="2"/>
      <c r="H50" s="31">
        <v>0.4</v>
      </c>
      <c r="I50" s="7">
        <v>0.4</v>
      </c>
      <c r="K50" s="7">
        <v>0.5</v>
      </c>
      <c r="M50">
        <f t="shared" si="0"/>
        <v>3</v>
      </c>
      <c r="N50">
        <f t="shared" si="1"/>
        <v>1</v>
      </c>
      <c r="O50">
        <f t="shared" si="2"/>
        <v>1</v>
      </c>
      <c r="P50">
        <f t="shared" si="3"/>
        <v>1</v>
      </c>
      <c r="Q50">
        <f t="shared" si="4"/>
        <v>6</v>
      </c>
    </row>
    <row r="51" spans="1:17" x14ac:dyDescent="0.35">
      <c r="B51" s="2" t="s">
        <v>396</v>
      </c>
      <c r="C51" s="2" t="s">
        <v>404</v>
      </c>
      <c r="D51" s="31">
        <v>0.75</v>
      </c>
      <c r="E51" s="31">
        <v>0.4</v>
      </c>
      <c r="F51" s="31">
        <v>0.6</v>
      </c>
      <c r="G51" s="31">
        <v>0.4</v>
      </c>
      <c r="H51" s="31">
        <v>0.4</v>
      </c>
      <c r="I51" s="7">
        <v>0.4</v>
      </c>
      <c r="K51" s="7">
        <v>0.5</v>
      </c>
      <c r="L51" s="7">
        <v>0.5</v>
      </c>
      <c r="M51">
        <f t="shared" si="0"/>
        <v>4</v>
      </c>
      <c r="N51">
        <f t="shared" si="1"/>
        <v>2</v>
      </c>
      <c r="O51">
        <f t="shared" si="2"/>
        <v>1</v>
      </c>
      <c r="P51">
        <f t="shared" si="3"/>
        <v>1</v>
      </c>
      <c r="Q51">
        <f t="shared" si="4"/>
        <v>8</v>
      </c>
    </row>
    <row r="52" spans="1:17" x14ac:dyDescent="0.35">
      <c r="A52" t="s">
        <v>891</v>
      </c>
      <c r="B52" s="2" t="s">
        <v>396</v>
      </c>
      <c r="C52" s="2" t="s">
        <v>405</v>
      </c>
      <c r="D52" s="2"/>
      <c r="E52" s="31">
        <v>0.4</v>
      </c>
      <c r="F52" s="31">
        <v>0.6</v>
      </c>
      <c r="G52" s="2"/>
      <c r="H52" s="2"/>
      <c r="L52" s="7">
        <v>0.5</v>
      </c>
      <c r="M52">
        <f t="shared" si="0"/>
        <v>1</v>
      </c>
      <c r="N52">
        <f t="shared" si="1"/>
        <v>1</v>
      </c>
      <c r="O52">
        <f t="shared" si="2"/>
        <v>1</v>
      </c>
      <c r="P52">
        <f t="shared" si="3"/>
        <v>0</v>
      </c>
      <c r="Q52">
        <f t="shared" si="4"/>
        <v>3</v>
      </c>
    </row>
    <row r="53" spans="1:17" x14ac:dyDescent="0.35">
      <c r="B53" s="2" t="s">
        <v>396</v>
      </c>
      <c r="C53" s="2" t="s">
        <v>406</v>
      </c>
      <c r="D53" s="2"/>
      <c r="E53" s="31">
        <v>0.4</v>
      </c>
      <c r="F53" s="31">
        <v>0.6</v>
      </c>
      <c r="G53" s="2"/>
      <c r="H53" s="2"/>
      <c r="I53" s="7">
        <v>0.4</v>
      </c>
      <c r="M53">
        <f t="shared" si="0"/>
        <v>2</v>
      </c>
      <c r="N53">
        <f t="shared" si="1"/>
        <v>0</v>
      </c>
      <c r="O53">
        <f t="shared" si="2"/>
        <v>1</v>
      </c>
      <c r="P53">
        <f t="shared" si="3"/>
        <v>0</v>
      </c>
      <c r="Q53">
        <f t="shared" si="4"/>
        <v>3</v>
      </c>
    </row>
    <row r="54" spans="1:17" x14ac:dyDescent="0.35">
      <c r="B54" s="2" t="s">
        <v>396</v>
      </c>
      <c r="C54" s="2" t="s">
        <v>407</v>
      </c>
      <c r="D54" s="31">
        <v>0.4</v>
      </c>
      <c r="E54" s="2"/>
      <c r="F54" s="31">
        <v>0.6</v>
      </c>
      <c r="G54" s="2"/>
      <c r="H54" s="2"/>
      <c r="I54" s="7">
        <v>0.4</v>
      </c>
      <c r="L54" s="7">
        <v>0.5</v>
      </c>
      <c r="M54">
        <f t="shared" si="0"/>
        <v>2</v>
      </c>
      <c r="N54">
        <f t="shared" si="1"/>
        <v>1</v>
      </c>
      <c r="O54">
        <f t="shared" si="2"/>
        <v>1</v>
      </c>
      <c r="P54">
        <f t="shared" si="3"/>
        <v>0</v>
      </c>
      <c r="Q54">
        <f t="shared" si="4"/>
        <v>4</v>
      </c>
    </row>
    <row r="55" spans="1:17" x14ac:dyDescent="0.35">
      <c r="B55" s="2" t="s">
        <v>396</v>
      </c>
      <c r="C55" s="2" t="s">
        <v>408</v>
      </c>
      <c r="D55" s="31">
        <v>0.4</v>
      </c>
      <c r="E55" s="2"/>
      <c r="F55" s="31">
        <v>0.6</v>
      </c>
      <c r="G55" s="2"/>
      <c r="H55" s="2"/>
      <c r="I55" s="7">
        <v>0.4</v>
      </c>
      <c r="M55">
        <f t="shared" si="0"/>
        <v>2</v>
      </c>
      <c r="N55">
        <f t="shared" si="1"/>
        <v>0</v>
      </c>
      <c r="O55">
        <f t="shared" si="2"/>
        <v>1</v>
      </c>
      <c r="P55">
        <f t="shared" si="3"/>
        <v>0</v>
      </c>
      <c r="Q55">
        <f t="shared" si="4"/>
        <v>3</v>
      </c>
    </row>
    <row r="56" spans="1:17" x14ac:dyDescent="0.35">
      <c r="B56" s="2" t="s">
        <v>396</v>
      </c>
      <c r="C56" s="2" t="s">
        <v>409</v>
      </c>
      <c r="D56" s="2"/>
      <c r="E56" s="2"/>
      <c r="F56" s="31">
        <v>0.6</v>
      </c>
      <c r="G56" s="2"/>
      <c r="H56" s="31">
        <v>0.4</v>
      </c>
      <c r="K56" s="7"/>
      <c r="L56" s="7">
        <v>0.5</v>
      </c>
      <c r="M56">
        <f t="shared" si="0"/>
        <v>1</v>
      </c>
      <c r="N56">
        <f t="shared" si="1"/>
        <v>1</v>
      </c>
      <c r="O56">
        <f t="shared" si="2"/>
        <v>1</v>
      </c>
      <c r="P56">
        <f t="shared" si="3"/>
        <v>0</v>
      </c>
      <c r="Q56">
        <f t="shared" si="4"/>
        <v>3</v>
      </c>
    </row>
    <row r="57" spans="1:17" x14ac:dyDescent="0.35">
      <c r="A57" t="s">
        <v>891</v>
      </c>
      <c r="B57" s="2" t="s">
        <v>396</v>
      </c>
      <c r="C57" s="2" t="s">
        <v>892</v>
      </c>
      <c r="H57" s="7">
        <v>0.4</v>
      </c>
      <c r="K57" s="7">
        <v>0.5</v>
      </c>
      <c r="M57">
        <f t="shared" si="0"/>
        <v>1</v>
      </c>
      <c r="N57">
        <f t="shared" si="1"/>
        <v>1</v>
      </c>
      <c r="O57">
        <f t="shared" si="2"/>
        <v>0</v>
      </c>
      <c r="P57">
        <f t="shared" si="3"/>
        <v>0</v>
      </c>
      <c r="Q57">
        <f t="shared" si="4"/>
        <v>2</v>
      </c>
    </row>
    <row r="58" spans="1:17" x14ac:dyDescent="0.35">
      <c r="M58">
        <f>SUM(M1:M57)</f>
        <v>175</v>
      </c>
      <c r="N58">
        <f t="shared" ref="N58:Q58" si="5">SUM(N1:N57)</f>
        <v>82</v>
      </c>
      <c r="O58">
        <f t="shared" si="5"/>
        <v>68</v>
      </c>
      <c r="P58">
        <f t="shared" si="5"/>
        <v>82</v>
      </c>
      <c r="Q58">
        <f t="shared" si="5"/>
        <v>182</v>
      </c>
    </row>
    <row r="61" spans="1:17" x14ac:dyDescent="0.35">
      <c r="I61" s="7"/>
    </row>
    <row r="63" spans="1:17" x14ac:dyDescent="0.35">
      <c r="I63" s="7"/>
    </row>
  </sheetData>
  <autoFilter ref="A1:Q58" xr:uid="{B1401165-AC63-4964-8D44-0E5579DD6494}"/>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1AAEB9-2C1F-42E8-B9AC-8BA18AC2B624}">
  <dimension ref="A1:F38"/>
  <sheetViews>
    <sheetView tabSelected="1" workbookViewId="0">
      <selection activeCell="C8" sqref="C8"/>
    </sheetView>
  </sheetViews>
  <sheetFormatPr defaultRowHeight="14.5" x14ac:dyDescent="0.35"/>
  <cols>
    <col min="2" max="2" width="19.90625" customWidth="1"/>
    <col min="3" max="3" width="35" bestFit="1" customWidth="1"/>
    <col min="4" max="4" width="115.90625" bestFit="1" customWidth="1"/>
    <col min="5" max="5" width="71.6328125" bestFit="1" customWidth="1"/>
  </cols>
  <sheetData>
    <row r="1" spans="1:6" x14ac:dyDescent="0.35">
      <c r="A1" s="12" t="s">
        <v>895</v>
      </c>
      <c r="B1" s="12" t="s">
        <v>851</v>
      </c>
      <c r="C1" s="44" t="s">
        <v>893</v>
      </c>
      <c r="D1" s="44" t="s">
        <v>894</v>
      </c>
      <c r="E1" s="45" t="s">
        <v>919</v>
      </c>
    </row>
    <row r="2" spans="1:6" x14ac:dyDescent="0.35">
      <c r="A2" s="12">
        <v>1</v>
      </c>
      <c r="B2" s="12" t="s">
        <v>935</v>
      </c>
      <c r="C2" s="44">
        <v>2026</v>
      </c>
      <c r="D2" s="46" t="s">
        <v>62</v>
      </c>
      <c r="E2" s="44" t="s">
        <v>936</v>
      </c>
    </row>
    <row r="3" spans="1:6" x14ac:dyDescent="0.35">
      <c r="A3" s="12">
        <v>2</v>
      </c>
      <c r="B3" s="12" t="s">
        <v>896</v>
      </c>
      <c r="C3" s="44" t="s">
        <v>958</v>
      </c>
      <c r="D3" s="46" t="s">
        <v>936</v>
      </c>
      <c r="E3" s="47" t="s">
        <v>936</v>
      </c>
    </row>
    <row r="4" spans="1:6" x14ac:dyDescent="0.35">
      <c r="A4" s="12">
        <v>3</v>
      </c>
      <c r="B4" s="12" t="s">
        <v>897</v>
      </c>
      <c r="C4" s="44" t="s">
        <v>957</v>
      </c>
      <c r="D4" s="46" t="s">
        <v>920</v>
      </c>
      <c r="E4" s="47" t="s">
        <v>920</v>
      </c>
      <c r="F4" s="6"/>
    </row>
    <row r="5" spans="1:6" x14ac:dyDescent="0.35">
      <c r="A5" s="12">
        <v>4</v>
      </c>
      <c r="B5" s="12" t="s">
        <v>898</v>
      </c>
      <c r="C5" s="44" t="s">
        <v>957</v>
      </c>
      <c r="D5" s="46" t="s">
        <v>918</v>
      </c>
      <c r="E5" s="44" t="s">
        <v>936</v>
      </c>
    </row>
    <row r="6" spans="1:6" x14ac:dyDescent="0.35">
      <c r="A6" s="12">
        <v>5</v>
      </c>
      <c r="B6" s="12" t="s">
        <v>350</v>
      </c>
      <c r="C6" s="44" t="s">
        <v>899</v>
      </c>
      <c r="D6" s="46" t="s">
        <v>133</v>
      </c>
      <c r="E6" s="44" t="s">
        <v>936</v>
      </c>
    </row>
    <row r="7" spans="1:6" x14ac:dyDescent="0.35">
      <c r="A7" s="12">
        <v>6</v>
      </c>
      <c r="B7" s="12" t="s">
        <v>900</v>
      </c>
      <c r="C7" s="44" t="s">
        <v>958</v>
      </c>
      <c r="D7" s="48" t="s">
        <v>936</v>
      </c>
      <c r="E7" s="44" t="s">
        <v>936</v>
      </c>
    </row>
    <row r="8" spans="1:6" x14ac:dyDescent="0.35">
      <c r="A8" s="12">
        <v>7</v>
      </c>
      <c r="B8" s="12" t="s">
        <v>901</v>
      </c>
      <c r="C8" s="44" t="s">
        <v>940</v>
      </c>
      <c r="D8" s="46" t="s">
        <v>928</v>
      </c>
      <c r="E8" s="47" t="s">
        <v>928</v>
      </c>
    </row>
    <row r="9" spans="1:6" x14ac:dyDescent="0.35">
      <c r="A9" s="12">
        <v>8</v>
      </c>
      <c r="B9" s="12" t="s">
        <v>353</v>
      </c>
      <c r="C9" s="44" t="s">
        <v>940</v>
      </c>
      <c r="D9" s="46" t="s">
        <v>929</v>
      </c>
      <c r="E9" s="47" t="s">
        <v>930</v>
      </c>
    </row>
    <row r="10" spans="1:6" x14ac:dyDescent="0.35">
      <c r="A10" s="12">
        <v>9</v>
      </c>
      <c r="B10" s="12" t="s">
        <v>20</v>
      </c>
      <c r="C10" s="44" t="s">
        <v>902</v>
      </c>
      <c r="D10" s="46" t="s">
        <v>931</v>
      </c>
      <c r="E10" s="47" t="s">
        <v>932</v>
      </c>
    </row>
    <row r="11" spans="1:6" x14ac:dyDescent="0.35">
      <c r="A11" s="12">
        <v>10</v>
      </c>
      <c r="B11" s="12" t="s">
        <v>903</v>
      </c>
      <c r="C11" s="44" t="s">
        <v>904</v>
      </c>
      <c r="D11" s="46" t="s">
        <v>934</v>
      </c>
      <c r="E11" s="47" t="s">
        <v>933</v>
      </c>
    </row>
    <row r="12" spans="1:6" x14ac:dyDescent="0.35">
      <c r="A12" s="12">
        <v>11</v>
      </c>
      <c r="B12" s="12" t="s">
        <v>905</v>
      </c>
      <c r="C12" s="44" t="s">
        <v>958</v>
      </c>
      <c r="D12" s="48" t="s">
        <v>936</v>
      </c>
      <c r="E12" s="44" t="s">
        <v>936</v>
      </c>
    </row>
    <row r="13" spans="1:6" x14ac:dyDescent="0.35">
      <c r="A13" s="12">
        <v>12</v>
      </c>
      <c r="B13" s="12" t="s">
        <v>354</v>
      </c>
      <c r="C13" s="44" t="s">
        <v>958</v>
      </c>
      <c r="D13" s="48" t="s">
        <v>936</v>
      </c>
      <c r="E13" s="44" t="s">
        <v>936</v>
      </c>
    </row>
    <row r="14" spans="1:6" x14ac:dyDescent="0.35">
      <c r="A14" s="12">
        <v>13</v>
      </c>
      <c r="B14" s="12" t="s">
        <v>906</v>
      </c>
      <c r="C14" s="44" t="s">
        <v>958</v>
      </c>
      <c r="D14" s="48" t="s">
        <v>936</v>
      </c>
      <c r="E14" s="44" t="s">
        <v>936</v>
      </c>
    </row>
    <row r="15" spans="1:6" x14ac:dyDescent="0.35">
      <c r="A15" s="12">
        <v>14</v>
      </c>
      <c r="B15" s="12" t="s">
        <v>907</v>
      </c>
      <c r="C15" s="44" t="s">
        <v>958</v>
      </c>
      <c r="D15" s="48" t="s">
        <v>936</v>
      </c>
      <c r="E15" s="44" t="s">
        <v>936</v>
      </c>
    </row>
    <row r="16" spans="1:6" x14ac:dyDescent="0.35">
      <c r="A16" s="12">
        <v>15</v>
      </c>
      <c r="B16" s="12" t="s">
        <v>351</v>
      </c>
      <c r="C16" s="44">
        <v>2026</v>
      </c>
      <c r="D16" s="46" t="s">
        <v>937</v>
      </c>
      <c r="E16" s="47" t="s">
        <v>938</v>
      </c>
    </row>
    <row r="17" spans="1:5" x14ac:dyDescent="0.35">
      <c r="A17" s="12">
        <v>16</v>
      </c>
      <c r="B17" s="12" t="s">
        <v>908</v>
      </c>
      <c r="C17" s="44" t="s">
        <v>958</v>
      </c>
      <c r="D17" s="48" t="s">
        <v>936</v>
      </c>
      <c r="E17" s="44" t="s">
        <v>936</v>
      </c>
    </row>
    <row r="18" spans="1:5" x14ac:dyDescent="0.35">
      <c r="A18" s="12">
        <v>17</v>
      </c>
      <c r="B18" s="12" t="s">
        <v>909</v>
      </c>
      <c r="C18" s="44" t="s">
        <v>958</v>
      </c>
      <c r="D18" s="48" t="s">
        <v>936</v>
      </c>
      <c r="E18" s="44" t="s">
        <v>936</v>
      </c>
    </row>
    <row r="19" spans="1:5" x14ac:dyDescent="0.35">
      <c r="A19" s="12">
        <v>18</v>
      </c>
      <c r="B19" s="12" t="s">
        <v>910</v>
      </c>
      <c r="C19" s="44" t="s">
        <v>940</v>
      </c>
      <c r="D19" s="46" t="s">
        <v>936</v>
      </c>
      <c r="E19" s="47" t="s">
        <v>939</v>
      </c>
    </row>
    <row r="20" spans="1:5" x14ac:dyDescent="0.35">
      <c r="A20" s="12">
        <v>19</v>
      </c>
      <c r="B20" s="12" t="s">
        <v>911</v>
      </c>
      <c r="C20" s="44" t="s">
        <v>940</v>
      </c>
      <c r="D20" s="46" t="s">
        <v>949</v>
      </c>
      <c r="E20" s="44" t="s">
        <v>936</v>
      </c>
    </row>
    <row r="21" spans="1:5" x14ac:dyDescent="0.35">
      <c r="A21" s="12">
        <v>20</v>
      </c>
      <c r="B21" s="12" t="s">
        <v>352</v>
      </c>
      <c r="C21" s="44" t="s">
        <v>958</v>
      </c>
      <c r="D21" s="46"/>
      <c r="E21" s="44" t="s">
        <v>936</v>
      </c>
    </row>
    <row r="22" spans="1:5" x14ac:dyDescent="0.35">
      <c r="A22" s="12">
        <v>21</v>
      </c>
      <c r="B22" s="12" t="s">
        <v>19</v>
      </c>
      <c r="C22" s="44" t="s">
        <v>940</v>
      </c>
      <c r="D22" s="46" t="s">
        <v>921</v>
      </c>
      <c r="E22" s="47" t="s">
        <v>921</v>
      </c>
    </row>
    <row r="23" spans="1:5" x14ac:dyDescent="0.35">
      <c r="A23" s="12">
        <v>22</v>
      </c>
      <c r="B23" s="12" t="s">
        <v>912</v>
      </c>
      <c r="C23" s="44" t="s">
        <v>940</v>
      </c>
      <c r="D23" s="46" t="s">
        <v>950</v>
      </c>
      <c r="E23" s="44" t="s">
        <v>936</v>
      </c>
    </row>
    <row r="24" spans="1:5" x14ac:dyDescent="0.35">
      <c r="A24" s="12">
        <v>23</v>
      </c>
      <c r="B24" s="12" t="s">
        <v>913</v>
      </c>
      <c r="C24" s="44" t="s">
        <v>940</v>
      </c>
      <c r="D24" s="46" t="s">
        <v>951</v>
      </c>
      <c r="E24" s="44" t="s">
        <v>936</v>
      </c>
    </row>
    <row r="25" spans="1:5" x14ac:dyDescent="0.35">
      <c r="A25" s="12">
        <v>24</v>
      </c>
      <c r="B25" s="12" t="s">
        <v>914</v>
      </c>
      <c r="C25" s="44" t="s">
        <v>940</v>
      </c>
      <c r="D25" s="46" t="s">
        <v>952</v>
      </c>
      <c r="E25" s="44" t="s">
        <v>936</v>
      </c>
    </row>
    <row r="26" spans="1:5" x14ac:dyDescent="0.35">
      <c r="A26" s="12">
        <v>25</v>
      </c>
      <c r="B26" s="12" t="s">
        <v>355</v>
      </c>
      <c r="C26" s="44" t="s">
        <v>940</v>
      </c>
      <c r="D26" s="46" t="s">
        <v>953</v>
      </c>
      <c r="E26" s="44" t="s">
        <v>936</v>
      </c>
    </row>
    <row r="27" spans="1:5" x14ac:dyDescent="0.35">
      <c r="A27" s="12">
        <v>26</v>
      </c>
      <c r="B27" s="12" t="s">
        <v>915</v>
      </c>
      <c r="C27" s="44">
        <v>2024</v>
      </c>
      <c r="D27" s="46" t="s">
        <v>954</v>
      </c>
      <c r="E27" s="47" t="s">
        <v>954</v>
      </c>
    </row>
    <row r="28" spans="1:5" x14ac:dyDescent="0.35">
      <c r="A28" s="12">
        <v>27</v>
      </c>
      <c r="B28" s="12" t="s">
        <v>916</v>
      </c>
      <c r="C28" s="44" t="s">
        <v>958</v>
      </c>
      <c r="D28" s="48" t="s">
        <v>936</v>
      </c>
      <c r="E28" s="44" t="s">
        <v>936</v>
      </c>
    </row>
    <row r="29" spans="1:5" x14ac:dyDescent="0.35">
      <c r="A29" s="12">
        <v>28</v>
      </c>
      <c r="B29" s="12" t="s">
        <v>917</v>
      </c>
      <c r="C29" s="44">
        <v>2026</v>
      </c>
      <c r="D29" s="46" t="s">
        <v>955</v>
      </c>
      <c r="E29" s="44" t="s">
        <v>936</v>
      </c>
    </row>
    <row r="30" spans="1:5" x14ac:dyDescent="0.35">
      <c r="A30" s="12">
        <v>29</v>
      </c>
      <c r="B30" s="12" t="s">
        <v>356</v>
      </c>
      <c r="C30" s="44" t="s">
        <v>940</v>
      </c>
      <c r="D30" s="46" t="s">
        <v>956</v>
      </c>
      <c r="E30" s="47" t="s">
        <v>956</v>
      </c>
    </row>
    <row r="32" spans="1:5" x14ac:dyDescent="0.35">
      <c r="C32" t="s">
        <v>947</v>
      </c>
      <c r="D32" t="s">
        <v>948</v>
      </c>
    </row>
    <row r="33" spans="2:4" x14ac:dyDescent="0.35">
      <c r="B33" t="s">
        <v>941</v>
      </c>
      <c r="C33" t="s">
        <v>942</v>
      </c>
      <c r="D33" t="s">
        <v>943</v>
      </c>
    </row>
    <row r="34" spans="2:4" x14ac:dyDescent="0.35">
      <c r="B34" t="s">
        <v>944</v>
      </c>
      <c r="C34" t="s">
        <v>945</v>
      </c>
      <c r="D34" t="s">
        <v>946</v>
      </c>
    </row>
    <row r="35" spans="2:4" ht="15" thickBot="1" x14ac:dyDescent="0.4"/>
    <row r="36" spans="2:4" ht="33.5" thickBot="1" x14ac:dyDescent="0.4">
      <c r="B36" s="34" t="s">
        <v>922</v>
      </c>
      <c r="C36" s="34" t="s">
        <v>923</v>
      </c>
    </row>
    <row r="37" spans="2:4" ht="33.5" thickBot="1" x14ac:dyDescent="0.4">
      <c r="B37" s="34" t="s">
        <v>924</v>
      </c>
      <c r="C37" s="34" t="s">
        <v>925</v>
      </c>
    </row>
    <row r="38" spans="2:4" ht="33.5" thickBot="1" x14ac:dyDescent="0.4">
      <c r="B38" s="34" t="s">
        <v>926</v>
      </c>
      <c r="C38" s="34" t="s">
        <v>927</v>
      </c>
    </row>
  </sheetData>
  <hyperlinks>
    <hyperlink ref="D5" r:id="rId1" xr:uid="{1BD8F778-090D-4FEC-8519-C3034CF9D0BE}"/>
    <hyperlink ref="D4" r:id="rId2" display="https://www.iifl.com/blogs/other/smam-tractor-subsidy-arunachal-pradesh" xr:uid="{4A599EC7-96F0-4213-9007-CEEFAE195F13}"/>
    <hyperlink ref="E4" r:id="rId3" display="https://www.iifl.com/blogs/other/smam-tractor-subsidy-arunachal-pradesh" xr:uid="{6C369C5D-049E-43C0-9224-38D51EEA1027}"/>
    <hyperlink ref="D6" r:id="rId4" display="https://farmech.bihar.gov.in/FMNEW/MechanizationImplementList2025_2026.pdf" xr:uid="{55A53127-073A-479F-B0DF-79274A4A5D6B}"/>
    <hyperlink ref="D22" r:id="rId5" display="https://pameti.org.in/wp-content/uploads/2025/01/Compendium-of-Government-Schemes-run-by-agriculture-and-allied-departments.pdf" xr:uid="{28F4D592-B987-4574-8FF8-D7FE5F06F2B8}"/>
    <hyperlink ref="E22" r:id="rId6" display="https://pameti.org.in/wp-content/uploads/2025/01/Compendium-of-Government-Schemes-run-by-agriculture-and-allied-departments.pdf" xr:uid="{A5A23C04-685D-4D79-9764-DE0A1485D708}"/>
    <hyperlink ref="D8" r:id="rId7" display="https://www.agri.goa.gov.in/Upload/Schemes &amp; Services 2020-2021.pdf" xr:uid="{AE79830C-4266-4BD4-95E1-9CF4C289B581}"/>
    <hyperlink ref="E8" r:id="rId8" display="https://www.agri.goa.gov.in/Upload/Schemes &amp; Services 2020-2021.pdf" xr:uid="{57A2929D-BFF5-41A3-81A8-E92B412D3EC3}"/>
    <hyperlink ref="D9" r:id="rId9" display="https://www.manage.gov.in/fpoacademy/SGSchemes/gujarat.pdf" xr:uid="{5E4B303E-9CAF-4C51-AF79-E760DEB4FB6D}"/>
    <hyperlink ref="E9" r:id="rId10" display="https://dag.gujarat.gov.in/Home/SchemesDetailsPage/9whX1efZSl8wVsjqjrs8hw%E2%99%AC%E2%99%AC" xr:uid="{A4768155-9214-4F0E-B342-8D314C855301}"/>
    <hyperlink ref="D10" r:id="rId11" display="https://agriharyana.gov.in/MechCRMScheme" xr:uid="{3F7F554E-A6F3-4E91-B8D4-F8E9D7D02060}"/>
    <hyperlink ref="E10" r:id="rId12" display="https://agriharyana.gov.in/MechSMAMScheme.aspx" xr:uid="{6DCF8E6C-50C2-4552-8430-8157EB20936B}"/>
    <hyperlink ref="E11" r:id="rId13" display="https://agriculture.hp.gov.in/en/our-scheme/sub-mission-on-agriculture-mechanization-smam/" xr:uid="{F462C0FC-2545-47B6-91B8-69160A05E3F8}"/>
    <hyperlink ref="D11" r:id="rId14" display="https://agriculture.hp.gov.in/en/our-scheme/state-agricultural-mechanisation/" xr:uid="{6A20FF63-DDDB-4D54-8584-38061337435E}"/>
    <hyperlink ref="D2" r:id="rId15" display="https://farmech.dac.gov.in/Content/New_Folder/Revised_SMAM_Guidelines_(2025)_With_Covering.pdf" xr:uid="{62732C76-8E03-4D45-9B50-E9039FCAE4AB}"/>
    <hyperlink ref="D16" r:id="rId16" display="https://www.bing.com/search?q=farm%20implements%20subsidy%20Maharashtra%20pdf&amp;qs=n&amp;form=QBRE&amp;sp=-1&amp;lq=0&amp;pq=farm%20implements%20subsidy%20maharashtrapdf&amp;sc=12-38&amp;sk=&amp;cvid=A94C2CA1FEB84011A56CB578CCC4E957" xr:uid="{0CCA3A15-2C34-40FB-B131-FF787E48B191}"/>
    <hyperlink ref="E16" r:id="rId17" display="https://www.mittigoldorganic.com/blog/list-farmer-subsidy-schemes-maharashtra-2026" xr:uid="{D23821A3-8D89-45BB-BA05-5E3546412AA4}"/>
    <hyperlink ref="D19" r:id="rId18" display="https://agriculturemizoram.nic.in/pages/mechanization.html" xr:uid="{7CA8589A-5F15-449D-865C-4BCB7A13BC50}"/>
    <hyperlink ref="E19" r:id="rId19" display="https://agriculturemizoram.nic.in/pages/mechanization.html" xr:uid="{F56936C4-0A6A-4C7E-9FD1-FAF3C0B73613}"/>
    <hyperlink ref="D20" r:id="rId20" display="https://agrisnetodisha.ori.nic.in/33385.pdf" xr:uid="{6F83D614-B778-48D1-BC8C-455D6E530C5D}"/>
    <hyperlink ref="D23" r:id="rId21" display="https://rajkisan.rajasthan.gov.in/WebsiteNew/Implement.html" xr:uid="{CD16A802-9A14-47A6-AC97-2FE65A199E5F}"/>
    <hyperlink ref="D24" r:id="rId22" display="https://www.iifl.com/blogs/other/smam-sikkim-tractor-subsidy-guide" xr:uid="{9D2C9904-5333-4E98-8C84-4CF4A534295A}"/>
    <hyperlink ref="D25" r:id="rId23" display="https://aed.tn.gov.in/en/schemes/agricultural-mechanisation/sub-mission-on-agricultural-mechanisation/" xr:uid="{B5ADE77F-3F8B-4CE4-AAA5-9568B75106EE}"/>
    <hyperlink ref="D26" r:id="rId24" display="https://legislation-legislature.telangana.gov.in/PreviewPage.tsl?filePath=basePath&amp;fileName=Statements/English/Eng_21_1_7.pdf" xr:uid="{7139734C-4007-4006-A441-7CC412B43EBC}"/>
    <hyperlink ref="D27" r:id="rId25" display="https://agri.tripura.gov.in/sites/default/files/Annual Plan 24-25_agri-230924.pdf" xr:uid="{C12E4D55-AE1D-4C94-A26A-9832E9F25114}"/>
    <hyperlink ref="D29" r:id="rId26" display="https://agriculture.uk.gov.in/scheme/sub-mission-on-agriculture-mechanization-smam/" xr:uid="{F320F906-C6ED-4DE6-A1BE-627F1E63E941}"/>
    <hyperlink ref="D30" r:id="rId27" display="https://agriculture.wb.gov.in/farm-mechanization" xr:uid="{8FCEC6FF-98C8-44DC-9CCF-9F8B268A45BC}"/>
    <hyperlink ref="E27" r:id="rId28" display="https://agri.tripura.gov.in/sites/default/files/Annual Plan 24-25_agri-230924.pdf" xr:uid="{39E214AE-14D8-4D15-8DF3-CC782365F454}"/>
    <hyperlink ref="E30" r:id="rId29" display="https://agriculture.wb.gov.in/farm-mechanization" xr:uid="{B96A19CF-9BA2-46BD-9563-17D709830491}"/>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ff1164b9-8404-4a11-944d-a66dc0905b39">
      <Terms xmlns="http://schemas.microsoft.com/office/infopath/2007/PartnerControls"/>
    </lcf76f155ced4ddcb4097134ff3c332f>
    <TaxCatchAll xmlns="955cd8cc-8948-4622-be1e-30a3aae7cec6"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89AF7B55763AC04D8A3B0ABBB9CA5EAD" ma:contentTypeVersion="13" ma:contentTypeDescription="Create a new document." ma:contentTypeScope="" ma:versionID="524c6f00767030e11b1f9fb8f42e3e24">
  <xsd:schema xmlns:xsd="http://www.w3.org/2001/XMLSchema" xmlns:xs="http://www.w3.org/2001/XMLSchema" xmlns:p="http://schemas.microsoft.com/office/2006/metadata/properties" xmlns:ns2="ff1164b9-8404-4a11-944d-a66dc0905b39" xmlns:ns3="955cd8cc-8948-4622-be1e-30a3aae7cec6" targetNamespace="http://schemas.microsoft.com/office/2006/metadata/properties" ma:root="true" ma:fieldsID="c675edb978621a624526a7c3a33bdf6b" ns2:_="" ns3:_="">
    <xsd:import namespace="ff1164b9-8404-4a11-944d-a66dc0905b39"/>
    <xsd:import namespace="955cd8cc-8948-4622-be1e-30a3aae7cec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Location" minOccurs="0"/>
                <xsd:element ref="ns2:MediaServiceOCR" minOccurs="0"/>
                <xsd:element ref="ns2:MediaServiceGenerationTime" minOccurs="0"/>
                <xsd:element ref="ns2:MediaServiceEventHashCode" minOccurs="0"/>
                <xsd:element ref="ns2:MediaServiceBillingMetadata"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f1164b9-8404-4a11-944d-a66dc0905b3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33ef62f9-2e07-484b-bd79-00aec90129fe" ma:termSetId="09814cd3-568e-fe90-9814-8d621ff8fb84" ma:anchorId="fba54fb3-c3e1-fe81-a776-ca4b69148c4d" ma:open="true" ma:isKeyword="false">
      <xsd:complexType>
        <xsd:sequence>
          <xsd:element ref="pc:Terms" minOccurs="0" maxOccurs="1"/>
        </xsd:sequence>
      </xsd:complexType>
    </xsd:element>
    <xsd:element name="MediaServiceLocation" ma:index="15" nillable="true" ma:displayName="Location" ma:indexed="true" ma:internalName="MediaServiceLocatio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BillingMetadata" ma:index="19" nillable="true" ma:displayName="MediaServiceBillingMetadata" ma:hidden="true" ma:internalName="MediaServiceBillingMetadata" ma:readOnly="true">
      <xsd:simpleType>
        <xsd:restriction base="dms:Note"/>
      </xsd:simpleType>
    </xsd:element>
    <xsd:element name="MediaLengthInSeconds" ma:index="20"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955cd8cc-8948-4622-be1e-30a3aae7cec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be6fba3-34cf-4f93-8a96-21786e4225a1}" ma:internalName="TaxCatchAll" ma:showField="CatchAllData" ma:web="955cd8cc-8948-4622-be1e-30a3aae7cec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C0A2B6A-D705-403E-9BF9-9BD49E2B4E8A}">
  <ds:schemaRefs>
    <ds:schemaRef ds:uri="http://schemas.microsoft.com/office/infopath/2007/PartnerControls"/>
    <ds:schemaRef ds:uri="http://purl.org/dc/elements/1.1/"/>
    <ds:schemaRef ds:uri="http://purl.org/dc/dcmitype/"/>
    <ds:schemaRef ds:uri="http://schemas.openxmlformats.org/package/2006/metadata/core-properties"/>
    <ds:schemaRef ds:uri="http://schemas.microsoft.com/office/2006/metadata/properties"/>
    <ds:schemaRef ds:uri="http://schemas.microsoft.com/office/2006/documentManagement/types"/>
    <ds:schemaRef ds:uri="http://purl.org/dc/terms/"/>
    <ds:schemaRef ds:uri="955cd8cc-8948-4622-be1e-30a3aae7cec6"/>
    <ds:schemaRef ds:uri="ff1164b9-8404-4a11-944d-a66dc0905b39"/>
    <ds:schemaRef ds:uri="http://www.w3.org/XML/1998/namespace"/>
  </ds:schemaRefs>
</ds:datastoreItem>
</file>

<file path=customXml/itemProps2.xml><?xml version="1.0" encoding="utf-8"?>
<ds:datastoreItem xmlns:ds="http://schemas.openxmlformats.org/officeDocument/2006/customXml" ds:itemID="{42D627C9-9D37-41AE-BF23-7CF23E8AD967}">
  <ds:schemaRefs>
    <ds:schemaRef ds:uri="http://schemas.microsoft.com/sharepoint/v3/contenttype/forms"/>
  </ds:schemaRefs>
</ds:datastoreItem>
</file>

<file path=customXml/itemProps3.xml><?xml version="1.0" encoding="utf-8"?>
<ds:datastoreItem xmlns:ds="http://schemas.openxmlformats.org/officeDocument/2006/customXml" ds:itemID="{D333F3AA-079C-4E66-94CA-9403CDF44CC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f1164b9-8404-4a11-944d-a66dc0905b39"/>
    <ds:schemaRef ds:uri="955cd8cc-8948-4622-be1e-30a3aae7cec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Schemes Overview</vt:lpstr>
      <vt:lpstr>Irrigation Scheme</vt:lpstr>
      <vt:lpstr>SMAM Subsidy Pattern</vt:lpstr>
      <vt:lpstr>Bihar</vt:lpstr>
      <vt:lpstr>Combined</vt:lpstr>
      <vt:lpstr>Karnataka</vt:lpstr>
      <vt:lpstr>Gujarat</vt:lpstr>
      <vt:lpstr>Haryana</vt:lpstr>
      <vt:lpstr>Odisha</vt:lpstr>
      <vt:lpstr>Punjab</vt:lpstr>
      <vt:lpstr>Maharashtra</vt:lpstr>
      <vt:lpstr>Crop Residue Management Sc</vt:lpstr>
      <vt:lpstr>NFSM-wheat</vt:lpstr>
      <vt:lpstr>PM-KSY</vt:lpstr>
      <vt:lpstr>Sheet1</vt:lpstr>
      <vt:lpstr>Subsidy slide</vt:lpstr>
      <vt:lpstr>Subsidies list statewise</vt:lpstr>
    </vt:vector>
  </TitlesOfParts>
  <Manager/>
  <Company>EY</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Megha Sharma</dc:creator>
  <cp:keywords/>
  <dc:description/>
  <cp:lastModifiedBy>Akhil R Nair</cp:lastModifiedBy>
  <cp:revision/>
  <dcterms:created xsi:type="dcterms:W3CDTF">2026-02-20T09:10:43Z</dcterms:created>
  <dcterms:modified xsi:type="dcterms:W3CDTF">2026-08-25T14:47:15Z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0x01010089AF7B55763AC04D8A3B0ABBB9CA5EAD</vt:lpwstr>
  </property>
</Properties>
</file>